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674ff7df717d332/"/>
    </mc:Choice>
  </mc:AlternateContent>
  <xr:revisionPtr revIDLastSave="1846" documentId="8_{0E17EA29-EF01-47F9-B179-9FBCA7BF72AD}" xr6:coauthVersionLast="47" xr6:coauthVersionMax="47" xr10:uidLastSave="{E55E5338-E261-4DA9-A593-62271F7B2BEE}"/>
  <bookViews>
    <workbookView xWindow="-120" yWindow="-120" windowWidth="29040" windowHeight="15720" activeTab="2" xr2:uid="{4F7E2F6C-7BA5-4076-8FD0-166DC7E0B1D3}"/>
  </bookViews>
  <sheets>
    <sheet name="Assumptions" sheetId="3" r:id="rId1"/>
    <sheet name="Rent v Mortgage" sheetId="1" r:id="rId2"/>
    <sheet name="Reports" sheetId="4" r:id="rId3"/>
    <sheet name="Hidden" sheetId="2" r:id="rId4"/>
  </sheets>
  <definedNames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'Rent v Mortgage'!$T$5</definedName>
    <definedName name="solver_pre" localSheetId="1" hidden="1">0.000001</definedName>
    <definedName name="solver_rbv" localSheetId="1" hidden="1">2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enor">Hidden!$B$3:$B$6</definedName>
  </definedNames>
  <calcPr calcId="191029" calcMode="manual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3" i="4" l="1"/>
  <c r="BE13" i="4" s="1"/>
  <c r="BF13" i="4" s="1"/>
  <c r="BG13" i="4" s="1"/>
  <c r="AV12" i="4"/>
  <c r="AW12" i="4" s="1"/>
  <c r="AX12" i="4" s="1"/>
  <c r="AY12" i="4" s="1"/>
  <c r="AZ12" i="4" s="1"/>
  <c r="BA12" i="4" s="1"/>
  <c r="AI9" i="4"/>
  <c r="AJ9" i="4" s="1"/>
  <c r="AK9" i="4" s="1"/>
  <c r="AL9" i="4" s="1"/>
  <c r="AM9" i="4" s="1"/>
  <c r="AN9" i="4" s="1"/>
  <c r="AO9" i="4" s="1"/>
  <c r="U7" i="4"/>
  <c r="V7" i="4" s="1"/>
  <c r="W7" i="4" s="1"/>
  <c r="X7" i="4" s="1"/>
  <c r="Y7" i="4" s="1"/>
  <c r="Z7" i="4" s="1"/>
  <c r="AA7" i="4" s="1"/>
  <c r="AB7" i="4" s="1"/>
  <c r="F5" i="4"/>
  <c r="G5" i="4" s="1"/>
  <c r="H5" i="4" s="1"/>
  <c r="I5" i="4" s="1"/>
  <c r="J5" i="4" s="1"/>
  <c r="K5" i="4" s="1"/>
  <c r="L5" i="4" s="1"/>
  <c r="M5" i="4" s="1"/>
  <c r="Q29" i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E6" i="3"/>
  <c r="N28" i="1"/>
  <c r="AQ28" i="1"/>
  <c r="AG28" i="1"/>
  <c r="K24" i="1"/>
  <c r="V28" i="1"/>
  <c r="T28" i="1"/>
  <c r="E28" i="1"/>
  <c r="C28" i="1"/>
  <c r="AC28" i="1" s="1"/>
  <c r="H6" i="1"/>
  <c r="K12" i="1"/>
  <c r="L12" i="1" s="1"/>
  <c r="AL28" i="1" l="1"/>
  <c r="AQ29" i="1"/>
  <c r="AH28" i="1"/>
  <c r="Y28" i="1"/>
  <c r="AE28" i="1"/>
  <c r="AD28" i="1" s="1"/>
  <c r="AI28" i="1"/>
  <c r="AM28" i="1"/>
  <c r="AK28" i="1"/>
  <c r="S28" i="1"/>
  <c r="L28" i="1"/>
  <c r="P28" i="1" s="1"/>
  <c r="D28" i="1"/>
  <c r="E29" i="1"/>
  <c r="AE29" i="1" s="1"/>
  <c r="AD29" i="1" s="1"/>
  <c r="W28" i="1"/>
  <c r="C29" i="1"/>
  <c r="AP28" i="1" l="1"/>
  <c r="AQ30" i="1"/>
  <c r="D29" i="1"/>
  <c r="E30" i="1"/>
  <c r="AE30" i="1" s="1"/>
  <c r="AD30" i="1" s="1"/>
  <c r="C30" i="1"/>
  <c r="AC30" i="1" s="1"/>
  <c r="AC29" i="1"/>
  <c r="AA29" i="1"/>
  <c r="Y29" i="1"/>
  <c r="AQ31" i="1" l="1"/>
  <c r="Z29" i="1"/>
  <c r="AM29" i="1" s="1"/>
  <c r="AA30" i="1"/>
  <c r="Z30" i="1" s="1"/>
  <c r="AL29" i="1" s="1"/>
  <c r="C31" i="1"/>
  <c r="AC31" i="1" s="1"/>
  <c r="D30" i="1"/>
  <c r="E31" i="1"/>
  <c r="AE31" i="1" s="1"/>
  <c r="AD31" i="1" s="1"/>
  <c r="Y30" i="1"/>
  <c r="L29" i="1"/>
  <c r="G29" i="1"/>
  <c r="H29" i="1" s="1"/>
  <c r="U29" i="1"/>
  <c r="T29" i="1"/>
  <c r="S29" i="1"/>
  <c r="M29" i="1"/>
  <c r="M30" i="1" l="1"/>
  <c r="N30" i="1"/>
  <c r="AM30" i="1"/>
  <c r="AK30" i="1"/>
  <c r="AI30" i="1"/>
  <c r="AK29" i="1"/>
  <c r="AQ32" i="1"/>
  <c r="AG29" i="1"/>
  <c r="J29" i="1"/>
  <c r="K29" i="1"/>
  <c r="N29" i="1"/>
  <c r="AH29" i="1"/>
  <c r="AI29" i="1"/>
  <c r="L30" i="1"/>
  <c r="T30" i="1"/>
  <c r="S30" i="1"/>
  <c r="Y31" i="1"/>
  <c r="E32" i="1"/>
  <c r="AE32" i="1" s="1"/>
  <c r="AD32" i="1" s="1"/>
  <c r="D31" i="1"/>
  <c r="AA31" i="1"/>
  <c r="Z31" i="1" s="1"/>
  <c r="N31" i="1" s="1"/>
  <c r="C32" i="1"/>
  <c r="AC32" i="1" s="1"/>
  <c r="J30" i="1"/>
  <c r="K30" i="1"/>
  <c r="G30" i="1"/>
  <c r="H30" i="1" s="1"/>
  <c r="V29" i="1"/>
  <c r="AG30" i="1" l="1"/>
  <c r="AH30" i="1"/>
  <c r="AN29" i="1"/>
  <c r="AP29" i="1" s="1"/>
  <c r="AK31" i="1"/>
  <c r="AM31" i="1"/>
  <c r="AI31" i="1"/>
  <c r="AQ33" i="1"/>
  <c r="AL30" i="1"/>
  <c r="AI32" i="1"/>
  <c r="AK32" i="1"/>
  <c r="K31" i="1"/>
  <c r="J31" i="1"/>
  <c r="G31" i="1"/>
  <c r="H31" i="1" s="1"/>
  <c r="S31" i="1"/>
  <c r="M31" i="1" s="1"/>
  <c r="T31" i="1"/>
  <c r="L31" i="1"/>
  <c r="AA32" i="1"/>
  <c r="Z32" i="1" s="1"/>
  <c r="N32" i="1" s="1"/>
  <c r="C33" i="1"/>
  <c r="AC33" i="1" s="1"/>
  <c r="D32" i="1"/>
  <c r="E33" i="1"/>
  <c r="AE33" i="1" s="1"/>
  <c r="AD33" i="1" s="1"/>
  <c r="Y32" i="1"/>
  <c r="U30" i="1"/>
  <c r="V30" i="1" s="1"/>
  <c r="W29" i="1"/>
  <c r="P29" i="1" s="1"/>
  <c r="AM32" i="1" l="1"/>
  <c r="AL31" i="1"/>
  <c r="AQ34" i="1"/>
  <c r="AH31" i="1"/>
  <c r="AG31" i="1"/>
  <c r="AN30" i="1"/>
  <c r="AP30" i="1" s="1"/>
  <c r="K32" i="1"/>
  <c r="J32" i="1"/>
  <c r="G32" i="1"/>
  <c r="H32" i="1" s="1"/>
  <c r="M32" i="1"/>
  <c r="L32" i="1"/>
  <c r="S32" i="1"/>
  <c r="C34" i="1"/>
  <c r="AC34" i="1" s="1"/>
  <c r="AA33" i="1"/>
  <c r="Z33" i="1" s="1"/>
  <c r="AI33" i="1" s="1"/>
  <c r="E34" i="1"/>
  <c r="AE34" i="1" s="1"/>
  <c r="AD34" i="1" s="1"/>
  <c r="D33" i="1"/>
  <c r="Y33" i="1"/>
  <c r="T32" i="1"/>
  <c r="U31" i="1"/>
  <c r="V31" i="1" s="1"/>
  <c r="W30" i="1"/>
  <c r="P30" i="1" s="1"/>
  <c r="AL32" i="1" l="1"/>
  <c r="AG32" i="1"/>
  <c r="AN31" i="1"/>
  <c r="AP31" i="1" s="1"/>
  <c r="AH32" i="1"/>
  <c r="AK33" i="1"/>
  <c r="AQ35" i="1"/>
  <c r="L33" i="1"/>
  <c r="N33" i="1"/>
  <c r="AM33" i="1"/>
  <c r="T33" i="1"/>
  <c r="S33" i="1"/>
  <c r="M33" i="1"/>
  <c r="C35" i="1"/>
  <c r="AC35" i="1" s="1"/>
  <c r="AA34" i="1"/>
  <c r="Z34" i="1" s="1"/>
  <c r="N34" i="1" s="1"/>
  <c r="J33" i="1"/>
  <c r="K33" i="1"/>
  <c r="G33" i="1"/>
  <c r="H33" i="1" s="1"/>
  <c r="D34" i="1"/>
  <c r="Y34" i="1"/>
  <c r="E35" i="1"/>
  <c r="AE35" i="1" s="1"/>
  <c r="AD35" i="1" s="1"/>
  <c r="U32" i="1"/>
  <c r="V32" i="1" s="1"/>
  <c r="W31" i="1"/>
  <c r="P31" i="1" s="1"/>
  <c r="AI34" i="1" l="1"/>
  <c r="S34" i="1"/>
  <c r="M34" i="1" s="1"/>
  <c r="AK34" i="1"/>
  <c r="AH33" i="1"/>
  <c r="AG33" i="1"/>
  <c r="AN32" i="1"/>
  <c r="AQ36" i="1"/>
  <c r="AM34" i="1"/>
  <c r="AL33" i="1"/>
  <c r="AP32" i="1"/>
  <c r="J34" i="1"/>
  <c r="K34" i="1"/>
  <c r="G34" i="1"/>
  <c r="H34" i="1" s="1"/>
  <c r="D35" i="1"/>
  <c r="Y35" i="1"/>
  <c r="E36" i="1"/>
  <c r="AE36" i="1" s="1"/>
  <c r="AD36" i="1" s="1"/>
  <c r="AA35" i="1"/>
  <c r="Z35" i="1" s="1"/>
  <c r="N35" i="1" s="1"/>
  <c r="C36" i="1"/>
  <c r="AC36" i="1" s="1"/>
  <c r="L34" i="1"/>
  <c r="T34" i="1"/>
  <c r="U33" i="1"/>
  <c r="V33" i="1" s="1"/>
  <c r="W32" i="1"/>
  <c r="P32" i="1" s="1"/>
  <c r="AL34" i="1" l="1"/>
  <c r="AI35" i="1"/>
  <c r="AQ37" i="1"/>
  <c r="AM35" i="1"/>
  <c r="AK35" i="1"/>
  <c r="AH34" i="1"/>
  <c r="AN33" i="1"/>
  <c r="AP33" i="1" s="1"/>
  <c r="AG34" i="1"/>
  <c r="J35" i="1"/>
  <c r="K35" i="1"/>
  <c r="G35" i="1"/>
  <c r="H35" i="1" s="1"/>
  <c r="S35" i="1"/>
  <c r="L35" i="1"/>
  <c r="M35" i="1"/>
  <c r="T35" i="1"/>
  <c r="AA36" i="1"/>
  <c r="C37" i="1"/>
  <c r="AC37" i="1" s="1"/>
  <c r="E37" i="1"/>
  <c r="AE37" i="1" s="1"/>
  <c r="AD37" i="1" s="1"/>
  <c r="D36" i="1"/>
  <c r="Y36" i="1"/>
  <c r="U34" i="1"/>
  <c r="V34" i="1" s="1"/>
  <c r="W33" i="1"/>
  <c r="P33" i="1" s="1"/>
  <c r="AG35" i="1" l="1"/>
  <c r="AN34" i="1"/>
  <c r="AP34" i="1" s="1"/>
  <c r="AH35" i="1"/>
  <c r="AQ38" i="1"/>
  <c r="Z36" i="1"/>
  <c r="Y37" i="1"/>
  <c r="E38" i="1"/>
  <c r="AE38" i="1" s="1"/>
  <c r="AD38" i="1" s="1"/>
  <c r="D37" i="1"/>
  <c r="AA37" i="1"/>
  <c r="Z37" i="1" s="1"/>
  <c r="N37" i="1" s="1"/>
  <c r="C38" i="1"/>
  <c r="AC38" i="1" s="1"/>
  <c r="U35" i="1"/>
  <c r="V35" i="1" s="1"/>
  <c r="W34" i="1"/>
  <c r="P34" i="1" s="1"/>
  <c r="AQ39" i="1" l="1"/>
  <c r="AI37" i="1"/>
  <c r="AM37" i="1"/>
  <c r="AG36" i="1"/>
  <c r="AH36" i="1"/>
  <c r="AN35" i="1"/>
  <c r="T36" i="1"/>
  <c r="T37" i="1" s="1"/>
  <c r="N36" i="1"/>
  <c r="AI36" i="1"/>
  <c r="AM36" i="1"/>
  <c r="AK36" i="1"/>
  <c r="AL35" i="1"/>
  <c r="AK37" i="1"/>
  <c r="G36" i="1"/>
  <c r="H36" i="1" s="1"/>
  <c r="K36" i="1"/>
  <c r="J36" i="1"/>
  <c r="L36" i="1"/>
  <c r="M36" i="1"/>
  <c r="S36" i="1"/>
  <c r="S37" i="1" s="1"/>
  <c r="M37" i="1" s="1"/>
  <c r="AA38" i="1"/>
  <c r="Z38" i="1" s="1"/>
  <c r="N38" i="1" s="1"/>
  <c r="C39" i="1"/>
  <c r="AC39" i="1" s="1"/>
  <c r="D38" i="1"/>
  <c r="Y38" i="1"/>
  <c r="E39" i="1"/>
  <c r="AE39" i="1" s="1"/>
  <c r="AD39" i="1" s="1"/>
  <c r="J37" i="1"/>
  <c r="K37" i="1"/>
  <c r="G37" i="1"/>
  <c r="H37" i="1" s="1"/>
  <c r="L37" i="1"/>
  <c r="U36" i="1"/>
  <c r="W35" i="1"/>
  <c r="P35" i="1" s="1"/>
  <c r="V36" i="1" l="1"/>
  <c r="U37" i="1" s="1"/>
  <c r="V37" i="1" s="1"/>
  <c r="AI38" i="1"/>
  <c r="AH37" i="1"/>
  <c r="AN36" i="1"/>
  <c r="AG37" i="1"/>
  <c r="AM38" i="1"/>
  <c r="AK38" i="1"/>
  <c r="AP35" i="1"/>
  <c r="AL36" i="1"/>
  <c r="AL37" i="1" s="1"/>
  <c r="AQ40" i="1"/>
  <c r="J38" i="1"/>
  <c r="K38" i="1"/>
  <c r="G38" i="1"/>
  <c r="H38" i="1" s="1"/>
  <c r="M38" i="1"/>
  <c r="L38" i="1"/>
  <c r="Y39" i="1"/>
  <c r="D39" i="1"/>
  <c r="E40" i="1"/>
  <c r="AE40" i="1" s="1"/>
  <c r="AD40" i="1" s="1"/>
  <c r="T38" i="1"/>
  <c r="S38" i="1"/>
  <c r="AA39" i="1"/>
  <c r="Z39" i="1" s="1"/>
  <c r="N39" i="1" s="1"/>
  <c r="C40" i="1"/>
  <c r="AC40" i="1" s="1"/>
  <c r="W36" i="1" l="1"/>
  <c r="P36" i="1" s="1"/>
  <c r="AQ41" i="1"/>
  <c r="AP36" i="1"/>
  <c r="AH38" i="1"/>
  <c r="AG38" i="1"/>
  <c r="AN37" i="1"/>
  <c r="AP37" i="1" s="1"/>
  <c r="AK39" i="1"/>
  <c r="AL38" i="1"/>
  <c r="AL39" i="1" s="1"/>
  <c r="AI39" i="1"/>
  <c r="M39" i="1"/>
  <c r="AM39" i="1"/>
  <c r="S39" i="1"/>
  <c r="T39" i="1"/>
  <c r="J39" i="1"/>
  <c r="K39" i="1"/>
  <c r="G39" i="1"/>
  <c r="H39" i="1" s="1"/>
  <c r="AA40" i="1"/>
  <c r="Z40" i="1" s="1"/>
  <c r="N40" i="1" s="1"/>
  <c r="C41" i="1"/>
  <c r="AC41" i="1" s="1"/>
  <c r="E41" i="1"/>
  <c r="AE41" i="1" s="1"/>
  <c r="AD41" i="1" s="1"/>
  <c r="D40" i="1"/>
  <c r="Y40" i="1"/>
  <c r="L39" i="1"/>
  <c r="U38" i="1"/>
  <c r="V38" i="1" s="1"/>
  <c r="W37" i="1"/>
  <c r="P37" i="1" s="1"/>
  <c r="AN38" i="1" l="1"/>
  <c r="AP38" i="1" s="1"/>
  <c r="AG39" i="1"/>
  <c r="AH39" i="1"/>
  <c r="AK40" i="1"/>
  <c r="AM40" i="1"/>
  <c r="AQ42" i="1"/>
  <c r="AI40" i="1"/>
  <c r="K40" i="1"/>
  <c r="J40" i="1"/>
  <c r="G40" i="1"/>
  <c r="H40" i="1" s="1"/>
  <c r="T40" i="1"/>
  <c r="AA41" i="1"/>
  <c r="Z41" i="1" s="1"/>
  <c r="N41" i="1" s="1"/>
  <c r="C42" i="1"/>
  <c r="AC42" i="1" s="1"/>
  <c r="Y41" i="1"/>
  <c r="E42" i="1"/>
  <c r="AE42" i="1" s="1"/>
  <c r="AD42" i="1" s="1"/>
  <c r="D41" i="1"/>
  <c r="U39" i="1"/>
  <c r="V39" i="1" s="1"/>
  <c r="W38" i="1"/>
  <c r="P38" i="1" s="1"/>
  <c r="AQ43" i="1" l="1"/>
  <c r="AG40" i="1"/>
  <c r="AH40" i="1"/>
  <c r="AN39" i="1"/>
  <c r="AP39" i="1" s="1"/>
  <c r="AM41" i="1"/>
  <c r="AL40" i="1"/>
  <c r="AI41" i="1"/>
  <c r="AK41" i="1"/>
  <c r="J41" i="1"/>
  <c r="K41" i="1"/>
  <c r="G41" i="1"/>
  <c r="H41" i="1" s="1"/>
  <c r="M41" i="1"/>
  <c r="L41" i="1"/>
  <c r="D42" i="1"/>
  <c r="Y42" i="1"/>
  <c r="E43" i="1"/>
  <c r="AE43" i="1" s="1"/>
  <c r="AD43" i="1" s="1"/>
  <c r="S40" i="1"/>
  <c r="T41" i="1"/>
  <c r="L40" i="1"/>
  <c r="AA42" i="1"/>
  <c r="Z42" i="1" s="1"/>
  <c r="C43" i="1"/>
  <c r="AC43" i="1" s="1"/>
  <c r="W39" i="1"/>
  <c r="P39" i="1" s="1"/>
  <c r="U40" i="1"/>
  <c r="V40" i="1" s="1"/>
  <c r="L42" i="1" l="1"/>
  <c r="N42" i="1"/>
  <c r="AL41" i="1"/>
  <c r="AN40" i="1"/>
  <c r="AP40" i="1" s="1"/>
  <c r="AG41" i="1"/>
  <c r="AH41" i="1"/>
  <c r="AM42" i="1"/>
  <c r="AK42" i="1"/>
  <c r="AI42" i="1"/>
  <c r="AQ44" i="1"/>
  <c r="Y43" i="1"/>
  <c r="D43" i="1"/>
  <c r="E44" i="1"/>
  <c r="AE44" i="1" s="1"/>
  <c r="AD44" i="1" s="1"/>
  <c r="M40" i="1"/>
  <c r="S41" i="1"/>
  <c r="S42" i="1" s="1"/>
  <c r="AA43" i="1"/>
  <c r="Z43" i="1" s="1"/>
  <c r="N43" i="1" s="1"/>
  <c r="C44" i="1"/>
  <c r="AC44" i="1" s="1"/>
  <c r="J42" i="1"/>
  <c r="K42" i="1"/>
  <c r="G42" i="1"/>
  <c r="H42" i="1" s="1"/>
  <c r="M42" i="1"/>
  <c r="T42" i="1"/>
  <c r="W40" i="1"/>
  <c r="U41" i="1"/>
  <c r="V41" i="1" s="1"/>
  <c r="AL42" i="1" l="1"/>
  <c r="AG42" i="1"/>
  <c r="AN41" i="1"/>
  <c r="AP41" i="1" s="1"/>
  <c r="AH42" i="1"/>
  <c r="AI43" i="1"/>
  <c r="AM43" i="1"/>
  <c r="AK43" i="1"/>
  <c r="AQ45" i="1"/>
  <c r="S43" i="1"/>
  <c r="M43" i="1" s="1"/>
  <c r="J43" i="1"/>
  <c r="K43" i="1"/>
  <c r="G43" i="1"/>
  <c r="H43" i="1" s="1"/>
  <c r="L43" i="1"/>
  <c r="P40" i="1"/>
  <c r="D44" i="1"/>
  <c r="Y44" i="1"/>
  <c r="E45" i="1"/>
  <c r="AE45" i="1" s="1"/>
  <c r="AD45" i="1" s="1"/>
  <c r="T43" i="1"/>
  <c r="C45" i="1"/>
  <c r="AC45" i="1" s="1"/>
  <c r="AA44" i="1"/>
  <c r="Z44" i="1" s="1"/>
  <c r="U42" i="1"/>
  <c r="V42" i="1" s="1"/>
  <c r="W41" i="1"/>
  <c r="P41" i="1" s="1"/>
  <c r="M44" i="1" l="1"/>
  <c r="N44" i="1"/>
  <c r="AI44" i="1"/>
  <c r="AM44" i="1"/>
  <c r="AQ46" i="1"/>
  <c r="AN42" i="1"/>
  <c r="AP42" i="1" s="1"/>
  <c r="AH43" i="1"/>
  <c r="AG43" i="1"/>
  <c r="AK44" i="1"/>
  <c r="AL43" i="1"/>
  <c r="K44" i="1"/>
  <c r="J44" i="1"/>
  <c r="G44" i="1"/>
  <c r="H44" i="1" s="1"/>
  <c r="T44" i="1"/>
  <c r="C46" i="1"/>
  <c r="AC46" i="1" s="1"/>
  <c r="AA45" i="1"/>
  <c r="Z45" i="1" s="1"/>
  <c r="N45" i="1" s="1"/>
  <c r="L44" i="1"/>
  <c r="E46" i="1"/>
  <c r="AE46" i="1" s="1"/>
  <c r="AD46" i="1" s="1"/>
  <c r="D45" i="1"/>
  <c r="Y45" i="1"/>
  <c r="S44" i="1"/>
  <c r="U43" i="1"/>
  <c r="V43" i="1" s="1"/>
  <c r="W42" i="1"/>
  <c r="P42" i="1" s="1"/>
  <c r="AL44" i="1" l="1"/>
  <c r="AN43" i="1"/>
  <c r="AP43" i="1" s="1"/>
  <c r="AG44" i="1"/>
  <c r="AH44" i="1"/>
  <c r="AQ47" i="1"/>
  <c r="AI45" i="1"/>
  <c r="AM45" i="1"/>
  <c r="AK45" i="1"/>
  <c r="J45" i="1"/>
  <c r="K45" i="1"/>
  <c r="G45" i="1"/>
  <c r="H45" i="1" s="1"/>
  <c r="AA46" i="1"/>
  <c r="Z46" i="1" s="1"/>
  <c r="N46" i="1" s="1"/>
  <c r="C47" i="1"/>
  <c r="AC47" i="1" s="1"/>
  <c r="M45" i="1"/>
  <c r="L45" i="1"/>
  <c r="S45" i="1"/>
  <c r="T45" i="1"/>
  <c r="Y46" i="1"/>
  <c r="E47" i="1"/>
  <c r="AE47" i="1" s="1"/>
  <c r="AD47" i="1" s="1"/>
  <c r="D46" i="1"/>
  <c r="U44" i="1"/>
  <c r="V44" i="1" s="1"/>
  <c r="W43" i="1"/>
  <c r="P43" i="1" s="1"/>
  <c r="AK46" i="1" l="1"/>
  <c r="AL45" i="1"/>
  <c r="AM46" i="1"/>
  <c r="AI46" i="1"/>
  <c r="AQ48" i="1"/>
  <c r="AH45" i="1"/>
  <c r="AG45" i="1"/>
  <c r="AN44" i="1"/>
  <c r="AP44" i="1" s="1"/>
  <c r="J46" i="1"/>
  <c r="K46" i="1"/>
  <c r="G46" i="1"/>
  <c r="H46" i="1" s="1"/>
  <c r="S46" i="1"/>
  <c r="M46" i="1" s="1"/>
  <c r="L46" i="1"/>
  <c r="Y47" i="1"/>
  <c r="D47" i="1"/>
  <c r="E48" i="1"/>
  <c r="AE48" i="1" s="1"/>
  <c r="AD48" i="1" s="1"/>
  <c r="AA47" i="1"/>
  <c r="Z47" i="1" s="1"/>
  <c r="C48" i="1"/>
  <c r="AC48" i="1" s="1"/>
  <c r="T46" i="1"/>
  <c r="U45" i="1"/>
  <c r="V45" i="1" s="1"/>
  <c r="W44" i="1"/>
  <c r="P44" i="1" s="1"/>
  <c r="T47" i="1" l="1"/>
  <c r="N47" i="1"/>
  <c r="AL46" i="1"/>
  <c r="AQ49" i="1"/>
  <c r="AM47" i="1"/>
  <c r="AN45" i="1"/>
  <c r="AP45" i="1" s="1"/>
  <c r="AG46" i="1"/>
  <c r="AH46" i="1"/>
  <c r="AK47" i="1"/>
  <c r="AI47" i="1"/>
  <c r="D48" i="1"/>
  <c r="Y48" i="1"/>
  <c r="E49" i="1"/>
  <c r="AE49" i="1" s="1"/>
  <c r="AD49" i="1" s="1"/>
  <c r="C49" i="1"/>
  <c r="AC49" i="1" s="1"/>
  <c r="AA48" i="1"/>
  <c r="Z48" i="1" s="1"/>
  <c r="N48" i="1" s="1"/>
  <c r="M47" i="1"/>
  <c r="J47" i="1"/>
  <c r="K47" i="1"/>
  <c r="G47" i="1"/>
  <c r="H47" i="1" s="1"/>
  <c r="S47" i="1"/>
  <c r="L47" i="1"/>
  <c r="U46" i="1"/>
  <c r="V46" i="1" s="1"/>
  <c r="W45" i="1"/>
  <c r="P45" i="1" s="1"/>
  <c r="AG47" i="1" l="1"/>
  <c r="AN46" i="1"/>
  <c r="AP46" i="1" s="1"/>
  <c r="AH47" i="1"/>
  <c r="AQ50" i="1"/>
  <c r="AK48" i="1"/>
  <c r="AI48" i="1"/>
  <c r="AL47" i="1"/>
  <c r="AL48" i="1" s="1"/>
  <c r="AM48" i="1"/>
  <c r="J48" i="1"/>
  <c r="K48" i="1"/>
  <c r="T48" i="1"/>
  <c r="M48" i="1"/>
  <c r="G48" i="1"/>
  <c r="H48" i="1" s="1"/>
  <c r="L48" i="1"/>
  <c r="S48" i="1"/>
  <c r="C50" i="1"/>
  <c r="AC50" i="1" s="1"/>
  <c r="AA49" i="1"/>
  <c r="Z49" i="1" s="1"/>
  <c r="N49" i="1" s="1"/>
  <c r="E50" i="1"/>
  <c r="AE50" i="1" s="1"/>
  <c r="AD50" i="1" s="1"/>
  <c r="D49" i="1"/>
  <c r="Y49" i="1"/>
  <c r="U47" i="1"/>
  <c r="V47" i="1" s="1"/>
  <c r="W46" i="1"/>
  <c r="P46" i="1" s="1"/>
  <c r="AK49" i="1" l="1"/>
  <c r="AH48" i="1"/>
  <c r="AG48" i="1"/>
  <c r="AN47" i="1"/>
  <c r="AP47" i="1" s="1"/>
  <c r="AM49" i="1"/>
  <c r="AI49" i="1"/>
  <c r="AQ51" i="1"/>
  <c r="K49" i="1"/>
  <c r="J49" i="1"/>
  <c r="G49" i="1"/>
  <c r="H49" i="1" s="1"/>
  <c r="L49" i="1"/>
  <c r="AA50" i="1"/>
  <c r="Z50" i="1" s="1"/>
  <c r="N50" i="1" s="1"/>
  <c r="C51" i="1"/>
  <c r="AC51" i="1" s="1"/>
  <c r="D50" i="1"/>
  <c r="Y50" i="1"/>
  <c r="E51" i="1"/>
  <c r="AE51" i="1" s="1"/>
  <c r="AD51" i="1" s="1"/>
  <c r="S49" i="1"/>
  <c r="M49" i="1" s="1"/>
  <c r="T49" i="1"/>
  <c r="U48" i="1"/>
  <c r="V48" i="1" s="1"/>
  <c r="W47" i="1"/>
  <c r="P47" i="1" s="1"/>
  <c r="AQ52" i="1" l="1"/>
  <c r="AG49" i="1"/>
  <c r="AN48" i="1"/>
  <c r="AP48" i="1" s="1"/>
  <c r="AH49" i="1"/>
  <c r="AK50" i="1"/>
  <c r="AL49" i="1"/>
  <c r="AM50" i="1"/>
  <c r="AI50" i="1"/>
  <c r="G50" i="1"/>
  <c r="H50" i="1" s="1"/>
  <c r="J50" i="1"/>
  <c r="K50" i="1"/>
  <c r="S50" i="1"/>
  <c r="L50" i="1"/>
  <c r="M50" i="1"/>
  <c r="AA51" i="1"/>
  <c r="Z51" i="1" s="1"/>
  <c r="N51" i="1" s="1"/>
  <c r="C52" i="1"/>
  <c r="AC52" i="1" s="1"/>
  <c r="T50" i="1"/>
  <c r="D51" i="1"/>
  <c r="Y51" i="1"/>
  <c r="E52" i="1"/>
  <c r="AE52" i="1" s="1"/>
  <c r="AD52" i="1" s="1"/>
  <c r="U49" i="1"/>
  <c r="V49" i="1" s="1"/>
  <c r="W48" i="1"/>
  <c r="P48" i="1" s="1"/>
  <c r="AL50" i="1" l="1"/>
  <c r="AM51" i="1"/>
  <c r="AI51" i="1"/>
  <c r="AH50" i="1"/>
  <c r="AN49" i="1"/>
  <c r="AP49" i="1" s="1"/>
  <c r="AG50" i="1"/>
  <c r="AK51" i="1"/>
  <c r="AQ53" i="1"/>
  <c r="K51" i="1"/>
  <c r="G51" i="1"/>
  <c r="H51" i="1" s="1"/>
  <c r="J51" i="1"/>
  <c r="S51" i="1"/>
  <c r="M51" i="1"/>
  <c r="T51" i="1"/>
  <c r="E53" i="1"/>
  <c r="AE53" i="1" s="1"/>
  <c r="AD53" i="1" s="1"/>
  <c r="D52" i="1"/>
  <c r="Y52" i="1"/>
  <c r="L51" i="1"/>
  <c r="C53" i="1"/>
  <c r="AC53" i="1" s="1"/>
  <c r="AA52" i="1"/>
  <c r="Z52" i="1" s="1"/>
  <c r="U50" i="1"/>
  <c r="V50" i="1" s="1"/>
  <c r="W49" i="1"/>
  <c r="P49" i="1" s="1"/>
  <c r="N52" i="1" l="1"/>
  <c r="AK52" i="1"/>
  <c r="AL51" i="1"/>
  <c r="AI52" i="1"/>
  <c r="AM52" i="1"/>
  <c r="AQ54" i="1"/>
  <c r="T52" i="1"/>
  <c r="L52" i="1" s="1"/>
  <c r="AG51" i="1"/>
  <c r="AN50" i="1"/>
  <c r="AP50" i="1" s="1"/>
  <c r="AH51" i="1"/>
  <c r="AA53" i="1"/>
  <c r="Z53" i="1" s="1"/>
  <c r="N53" i="1" s="1"/>
  <c r="C54" i="1"/>
  <c r="AC54" i="1" s="1"/>
  <c r="J52" i="1"/>
  <c r="K52" i="1"/>
  <c r="G52" i="1"/>
  <c r="H52" i="1" s="1"/>
  <c r="E54" i="1"/>
  <c r="AE54" i="1" s="1"/>
  <c r="AD54" i="1" s="1"/>
  <c r="Y53" i="1"/>
  <c r="D53" i="1"/>
  <c r="U51" i="1"/>
  <c r="V51" i="1" s="1"/>
  <c r="W50" i="1"/>
  <c r="P50" i="1" s="1"/>
  <c r="AK53" i="1" l="1"/>
  <c r="AM53" i="1"/>
  <c r="AI53" i="1"/>
  <c r="AG52" i="1"/>
  <c r="AH52" i="1"/>
  <c r="AN51" i="1"/>
  <c r="AP51" i="1" s="1"/>
  <c r="AQ55" i="1"/>
  <c r="S52" i="1"/>
  <c r="M52" i="1" s="1"/>
  <c r="AL52" i="1"/>
  <c r="M53" i="1"/>
  <c r="G53" i="1"/>
  <c r="H53" i="1" s="1"/>
  <c r="J53" i="1"/>
  <c r="K53" i="1"/>
  <c r="L53" i="1"/>
  <c r="T53" i="1"/>
  <c r="AA54" i="1"/>
  <c r="Z54" i="1" s="1"/>
  <c r="N54" i="1" s="1"/>
  <c r="C55" i="1"/>
  <c r="AC55" i="1" s="1"/>
  <c r="Y54" i="1"/>
  <c r="E55" i="1"/>
  <c r="AE55" i="1" s="1"/>
  <c r="AD55" i="1" s="1"/>
  <c r="D54" i="1"/>
  <c r="U52" i="1"/>
  <c r="V52" i="1" s="1"/>
  <c r="W51" i="1"/>
  <c r="P51" i="1" s="1"/>
  <c r="AL53" i="1" l="1"/>
  <c r="S53" i="1"/>
  <c r="S54" i="1" s="1"/>
  <c r="AQ56" i="1"/>
  <c r="AI54" i="1"/>
  <c r="AK54" i="1"/>
  <c r="AM54" i="1"/>
  <c r="AH53" i="1"/>
  <c r="AN52" i="1"/>
  <c r="AP52" i="1" s="1"/>
  <c r="AG53" i="1"/>
  <c r="G54" i="1"/>
  <c r="H54" i="1" s="1"/>
  <c r="J54" i="1"/>
  <c r="K54" i="1"/>
  <c r="L54" i="1"/>
  <c r="M54" i="1"/>
  <c r="C56" i="1"/>
  <c r="AC56" i="1" s="1"/>
  <c r="AA55" i="1"/>
  <c r="Z55" i="1" s="1"/>
  <c r="N55" i="1" s="1"/>
  <c r="T54" i="1"/>
  <c r="D55" i="1"/>
  <c r="Y55" i="1"/>
  <c r="E56" i="1"/>
  <c r="AE56" i="1" s="1"/>
  <c r="AD56" i="1" s="1"/>
  <c r="U53" i="1"/>
  <c r="V53" i="1" s="1"/>
  <c r="W52" i="1"/>
  <c r="P52" i="1" s="1"/>
  <c r="S55" i="1" l="1"/>
  <c r="M55" i="1" s="1"/>
  <c r="AI55" i="1"/>
  <c r="AH54" i="1"/>
  <c r="AG54" i="1"/>
  <c r="AN53" i="1"/>
  <c r="AP53" i="1" s="1"/>
  <c r="AK55" i="1"/>
  <c r="AM55" i="1"/>
  <c r="AQ57" i="1"/>
  <c r="AL54" i="1"/>
  <c r="T55" i="1"/>
  <c r="E57" i="1"/>
  <c r="AE57" i="1" s="1"/>
  <c r="AD57" i="1" s="1"/>
  <c r="D56" i="1"/>
  <c r="Y56" i="1"/>
  <c r="AA56" i="1"/>
  <c r="Z56" i="1" s="1"/>
  <c r="N56" i="1" s="1"/>
  <c r="C57" i="1"/>
  <c r="AC57" i="1" s="1"/>
  <c r="K55" i="1"/>
  <c r="G55" i="1"/>
  <c r="H55" i="1" s="1"/>
  <c r="J55" i="1"/>
  <c r="L55" i="1"/>
  <c r="U54" i="1"/>
  <c r="V54" i="1" s="1"/>
  <c r="W53" i="1"/>
  <c r="P53" i="1" s="1"/>
  <c r="AL55" i="1" l="1"/>
  <c r="AI56" i="1"/>
  <c r="AQ58" i="1"/>
  <c r="AM56" i="1"/>
  <c r="AK56" i="1"/>
  <c r="AH55" i="1"/>
  <c r="AG55" i="1"/>
  <c r="AN54" i="1"/>
  <c r="AP54" i="1" s="1"/>
  <c r="G56" i="1"/>
  <c r="H56" i="1" s="1"/>
  <c r="J56" i="1"/>
  <c r="K56" i="1"/>
  <c r="T56" i="1"/>
  <c r="L56" i="1"/>
  <c r="S56" i="1"/>
  <c r="M56" i="1"/>
  <c r="C58" i="1"/>
  <c r="AC58" i="1" s="1"/>
  <c r="AA57" i="1"/>
  <c r="Z57" i="1" s="1"/>
  <c r="N57" i="1" s="1"/>
  <c r="Y57" i="1"/>
  <c r="D57" i="1"/>
  <c r="E58" i="1"/>
  <c r="AE58" i="1" s="1"/>
  <c r="AD58" i="1" s="1"/>
  <c r="U55" i="1"/>
  <c r="V55" i="1" s="1"/>
  <c r="W54" i="1"/>
  <c r="P54" i="1" s="1"/>
  <c r="AL56" i="1" l="1"/>
  <c r="AQ59" i="1"/>
  <c r="AH56" i="1"/>
  <c r="AG56" i="1"/>
  <c r="AN55" i="1"/>
  <c r="AP55" i="1" s="1"/>
  <c r="AM57" i="1"/>
  <c r="AI57" i="1"/>
  <c r="AK57" i="1"/>
  <c r="G57" i="1"/>
  <c r="H57" i="1" s="1"/>
  <c r="K57" i="1"/>
  <c r="J57" i="1"/>
  <c r="M57" i="1"/>
  <c r="L57" i="1"/>
  <c r="S57" i="1"/>
  <c r="AA58" i="1"/>
  <c r="Z58" i="1" s="1"/>
  <c r="N58" i="1" s="1"/>
  <c r="C59" i="1"/>
  <c r="AC59" i="1" s="1"/>
  <c r="T57" i="1"/>
  <c r="Y58" i="1"/>
  <c r="E59" i="1"/>
  <c r="AE59" i="1" s="1"/>
  <c r="AD59" i="1" s="1"/>
  <c r="D58" i="1"/>
  <c r="U56" i="1"/>
  <c r="V56" i="1" s="1"/>
  <c r="W55" i="1"/>
  <c r="P55" i="1" s="1"/>
  <c r="AK58" i="1" l="1"/>
  <c r="AG57" i="1"/>
  <c r="AN56" i="1"/>
  <c r="AP56" i="1" s="1"/>
  <c r="AH57" i="1"/>
  <c r="AM58" i="1"/>
  <c r="AI58" i="1"/>
  <c r="AQ60" i="1"/>
  <c r="AL57" i="1"/>
  <c r="K58" i="1"/>
  <c r="G58" i="1"/>
  <c r="H58" i="1" s="1"/>
  <c r="J58" i="1"/>
  <c r="L58" i="1"/>
  <c r="S58" i="1"/>
  <c r="M58" i="1" s="1"/>
  <c r="Y59" i="1"/>
  <c r="E60" i="1"/>
  <c r="AE60" i="1" s="1"/>
  <c r="AD60" i="1" s="1"/>
  <c r="D59" i="1"/>
  <c r="AA59" i="1"/>
  <c r="C60" i="1"/>
  <c r="AC60" i="1" s="1"/>
  <c r="T58" i="1"/>
  <c r="U57" i="1"/>
  <c r="V57" i="1" s="1"/>
  <c r="W56" i="1"/>
  <c r="P56" i="1" s="1"/>
  <c r="AQ61" i="1" l="1"/>
  <c r="AH58" i="1"/>
  <c r="AG58" i="1"/>
  <c r="AN57" i="1"/>
  <c r="AP57" i="1" s="1"/>
  <c r="Z59" i="1"/>
  <c r="C61" i="1"/>
  <c r="AC61" i="1" s="1"/>
  <c r="AA60" i="1"/>
  <c r="Z60" i="1" s="1"/>
  <c r="N60" i="1" s="1"/>
  <c r="E61" i="1"/>
  <c r="AE61" i="1" s="1"/>
  <c r="AD61" i="1" s="1"/>
  <c r="D60" i="1"/>
  <c r="Y60" i="1"/>
  <c r="U58" i="1"/>
  <c r="V58" i="1" s="1"/>
  <c r="W57" i="1"/>
  <c r="P57" i="1" s="1"/>
  <c r="K59" i="1" l="1"/>
  <c r="N59" i="1"/>
  <c r="AI59" i="1"/>
  <c r="AK59" i="1"/>
  <c r="AM59" i="1"/>
  <c r="T59" i="1"/>
  <c r="T60" i="1" s="1"/>
  <c r="AG59" i="1"/>
  <c r="AH59" i="1"/>
  <c r="AN58" i="1"/>
  <c r="AK60" i="1"/>
  <c r="AQ62" i="1"/>
  <c r="AL58" i="1"/>
  <c r="AM60" i="1"/>
  <c r="AI60" i="1"/>
  <c r="G59" i="1"/>
  <c r="H59" i="1" s="1"/>
  <c r="J59" i="1"/>
  <c r="M59" i="1"/>
  <c r="L59" i="1"/>
  <c r="S59" i="1"/>
  <c r="S60" i="1" s="1"/>
  <c r="G60" i="1"/>
  <c r="H60" i="1" s="1"/>
  <c r="J60" i="1"/>
  <c r="K60" i="1"/>
  <c r="Y61" i="1"/>
  <c r="D61" i="1"/>
  <c r="E62" i="1"/>
  <c r="AE62" i="1" s="1"/>
  <c r="AD62" i="1" s="1"/>
  <c r="L60" i="1"/>
  <c r="M60" i="1"/>
  <c r="C62" i="1"/>
  <c r="AC62" i="1" s="1"/>
  <c r="AA61" i="1"/>
  <c r="Z61" i="1" s="1"/>
  <c r="N61" i="1" s="1"/>
  <c r="U59" i="1"/>
  <c r="W58" i="1"/>
  <c r="P58" i="1" s="1"/>
  <c r="V59" i="1" l="1"/>
  <c r="AM61" i="1"/>
  <c r="AK61" i="1"/>
  <c r="AL59" i="1"/>
  <c r="AL60" i="1" s="1"/>
  <c r="AP58" i="1"/>
  <c r="AQ63" i="1"/>
  <c r="AH60" i="1"/>
  <c r="AN59" i="1"/>
  <c r="AG60" i="1"/>
  <c r="AI61" i="1"/>
  <c r="K61" i="1"/>
  <c r="J61" i="1"/>
  <c r="G61" i="1"/>
  <c r="H61" i="1" s="1"/>
  <c r="L61" i="1"/>
  <c r="S61" i="1"/>
  <c r="D62" i="1"/>
  <c r="Y62" i="1"/>
  <c r="E63" i="1"/>
  <c r="AE63" i="1" s="1"/>
  <c r="AD63" i="1" s="1"/>
  <c r="T61" i="1"/>
  <c r="AA62" i="1"/>
  <c r="Z62" i="1" s="1"/>
  <c r="N62" i="1" s="1"/>
  <c r="C63" i="1"/>
  <c r="AC63" i="1" s="1"/>
  <c r="U60" i="1"/>
  <c r="V60" i="1" s="1"/>
  <c r="W59" i="1"/>
  <c r="P59" i="1" s="1"/>
  <c r="AP59" i="1" l="1"/>
  <c r="AH61" i="1"/>
  <c r="AN60" i="1"/>
  <c r="AP60" i="1" s="1"/>
  <c r="AG61" i="1"/>
  <c r="AQ64" i="1"/>
  <c r="AM62" i="1"/>
  <c r="AL61" i="1"/>
  <c r="AK62" i="1"/>
  <c r="AI62" i="1"/>
  <c r="J62" i="1"/>
  <c r="K62" i="1"/>
  <c r="L62" i="1"/>
  <c r="G62" i="1"/>
  <c r="H62" i="1" s="1"/>
  <c r="M62" i="1"/>
  <c r="D63" i="1"/>
  <c r="Y63" i="1"/>
  <c r="E64" i="1"/>
  <c r="AE64" i="1" s="1"/>
  <c r="AD64" i="1" s="1"/>
  <c r="M61" i="1"/>
  <c r="S62" i="1"/>
  <c r="C64" i="1"/>
  <c r="AC64" i="1" s="1"/>
  <c r="AA63" i="1"/>
  <c r="T62" i="1"/>
  <c r="U61" i="1"/>
  <c r="V61" i="1" s="1"/>
  <c r="W60" i="1"/>
  <c r="P60" i="1" s="1"/>
  <c r="AQ65" i="1" l="1"/>
  <c r="AH62" i="1"/>
  <c r="AG62" i="1"/>
  <c r="AN61" i="1"/>
  <c r="AP61" i="1" s="1"/>
  <c r="Z63" i="1"/>
  <c r="L63" i="1" s="1"/>
  <c r="E65" i="1"/>
  <c r="AE65" i="1" s="1"/>
  <c r="AD65" i="1" s="1"/>
  <c r="Y64" i="1"/>
  <c r="D64" i="1"/>
  <c r="AA64" i="1"/>
  <c r="Z64" i="1" s="1"/>
  <c r="N64" i="1" s="1"/>
  <c r="C65" i="1"/>
  <c r="AC65" i="1" s="1"/>
  <c r="U62" i="1"/>
  <c r="V62" i="1" s="1"/>
  <c r="W61" i="1"/>
  <c r="P61" i="1" s="1"/>
  <c r="J63" i="1" l="1"/>
  <c r="AK64" i="1"/>
  <c r="K63" i="1"/>
  <c r="N63" i="1"/>
  <c r="AM63" i="1"/>
  <c r="AK63" i="1"/>
  <c r="AI63" i="1"/>
  <c r="AG63" i="1"/>
  <c r="AH63" i="1"/>
  <c r="AN62" i="1"/>
  <c r="AI64" i="1"/>
  <c r="AM64" i="1"/>
  <c r="G63" i="1"/>
  <c r="H63" i="1" s="1"/>
  <c r="AQ66" i="1"/>
  <c r="S63" i="1"/>
  <c r="T63" i="1"/>
  <c r="T64" i="1" s="1"/>
  <c r="M63" i="1"/>
  <c r="AL62" i="1"/>
  <c r="AL63" i="1" s="1"/>
  <c r="AA65" i="1"/>
  <c r="Z65" i="1" s="1"/>
  <c r="N65" i="1" s="1"/>
  <c r="C66" i="1"/>
  <c r="AC66" i="1" s="1"/>
  <c r="E66" i="1"/>
  <c r="AE66" i="1" s="1"/>
  <c r="AD66" i="1" s="1"/>
  <c r="Y65" i="1"/>
  <c r="D65" i="1"/>
  <c r="K64" i="1"/>
  <c r="J64" i="1"/>
  <c r="G64" i="1"/>
  <c r="H64" i="1" s="1"/>
  <c r="U63" i="1"/>
  <c r="W62" i="1"/>
  <c r="P62" i="1" s="1"/>
  <c r="AP62" i="1" l="1"/>
  <c r="V63" i="1"/>
  <c r="AN63" i="1"/>
  <c r="AP63" i="1" s="1"/>
  <c r="AH64" i="1"/>
  <c r="AG64" i="1"/>
  <c r="M65" i="1"/>
  <c r="AK65" i="1"/>
  <c r="AM65" i="1"/>
  <c r="AQ67" i="1"/>
  <c r="AI65" i="1"/>
  <c r="C67" i="1"/>
  <c r="AC67" i="1" s="1"/>
  <c r="AA66" i="1"/>
  <c r="Z66" i="1" s="1"/>
  <c r="N66" i="1" s="1"/>
  <c r="L65" i="1"/>
  <c r="K65" i="1"/>
  <c r="J65" i="1"/>
  <c r="G65" i="1"/>
  <c r="H65" i="1" s="1"/>
  <c r="D66" i="1"/>
  <c r="Y66" i="1"/>
  <c r="E67" i="1"/>
  <c r="AE67" i="1" s="1"/>
  <c r="AD67" i="1" s="1"/>
  <c r="T65" i="1"/>
  <c r="L64" i="1"/>
  <c r="S64" i="1"/>
  <c r="U64" i="1"/>
  <c r="V64" i="1" s="1"/>
  <c r="W63" i="1"/>
  <c r="P63" i="1" s="1"/>
  <c r="AI66" i="1" l="1"/>
  <c r="AM66" i="1"/>
  <c r="AK66" i="1"/>
  <c r="AQ68" i="1"/>
  <c r="AL64" i="1"/>
  <c r="AN64" i="1"/>
  <c r="AG65" i="1"/>
  <c r="AH65" i="1"/>
  <c r="G66" i="1"/>
  <c r="H66" i="1" s="1"/>
  <c r="L66" i="1"/>
  <c r="K66" i="1"/>
  <c r="M66" i="1"/>
  <c r="J66" i="1"/>
  <c r="M64" i="1"/>
  <c r="S65" i="1"/>
  <c r="S66" i="1" s="1"/>
  <c r="T66" i="1"/>
  <c r="C68" i="1"/>
  <c r="AC68" i="1" s="1"/>
  <c r="AA67" i="1"/>
  <c r="Z67" i="1" s="1"/>
  <c r="Y67" i="1"/>
  <c r="D67" i="1"/>
  <c r="E68" i="1"/>
  <c r="AE68" i="1" s="1"/>
  <c r="AD68" i="1" s="1"/>
  <c r="U65" i="1"/>
  <c r="V65" i="1" s="1"/>
  <c r="W64" i="1"/>
  <c r="P64" i="1" l="1"/>
  <c r="L67" i="1"/>
  <c r="N67" i="1"/>
  <c r="AN65" i="1"/>
  <c r="AH66" i="1"/>
  <c r="AG66" i="1"/>
  <c r="AP64" i="1"/>
  <c r="AI67" i="1"/>
  <c r="AL65" i="1"/>
  <c r="AK67" i="1"/>
  <c r="AM67" i="1"/>
  <c r="AQ69" i="1"/>
  <c r="AA68" i="1"/>
  <c r="C69" i="1"/>
  <c r="AC69" i="1" s="1"/>
  <c r="S67" i="1"/>
  <c r="M67" i="1" s="1"/>
  <c r="Y68" i="1"/>
  <c r="E69" i="1"/>
  <c r="AE69" i="1" s="1"/>
  <c r="AD69" i="1" s="1"/>
  <c r="D68" i="1"/>
  <c r="J67" i="1"/>
  <c r="K67" i="1"/>
  <c r="G67" i="1"/>
  <c r="H67" i="1" s="1"/>
  <c r="T67" i="1"/>
  <c r="W65" i="1"/>
  <c r="P65" i="1" s="1"/>
  <c r="U66" i="1"/>
  <c r="V66" i="1" s="1"/>
  <c r="AL66" i="1" l="1"/>
  <c r="AH67" i="1"/>
  <c r="AN66" i="1"/>
  <c r="AG67" i="1"/>
  <c r="AQ70" i="1"/>
  <c r="AP65" i="1"/>
  <c r="Z68" i="1"/>
  <c r="T68" i="1" s="1"/>
  <c r="E70" i="1"/>
  <c r="AE70" i="1" s="1"/>
  <c r="AD70" i="1" s="1"/>
  <c r="Y69" i="1"/>
  <c r="D69" i="1"/>
  <c r="C70" i="1"/>
  <c r="AC70" i="1" s="1"/>
  <c r="AA69" i="1"/>
  <c r="Z69" i="1" s="1"/>
  <c r="N69" i="1" s="1"/>
  <c r="L68" i="1"/>
  <c r="U67" i="1"/>
  <c r="V67" i="1" s="1"/>
  <c r="W66" i="1"/>
  <c r="P66" i="1" s="1"/>
  <c r="S68" i="1" l="1"/>
  <c r="AP66" i="1"/>
  <c r="AL67" i="1"/>
  <c r="AL68" i="1" s="1"/>
  <c r="AQ71" i="1"/>
  <c r="AK69" i="1"/>
  <c r="AM69" i="1"/>
  <c r="AN67" i="1"/>
  <c r="AG68" i="1"/>
  <c r="AH68" i="1"/>
  <c r="AI69" i="1"/>
  <c r="N68" i="1"/>
  <c r="AI68" i="1"/>
  <c r="AM68" i="1"/>
  <c r="AK68" i="1"/>
  <c r="M68" i="1"/>
  <c r="K68" i="1"/>
  <c r="J68" i="1"/>
  <c r="G68" i="1"/>
  <c r="H68" i="1" s="1"/>
  <c r="G69" i="1"/>
  <c r="H69" i="1" s="1"/>
  <c r="J69" i="1"/>
  <c r="K69" i="1"/>
  <c r="M69" i="1"/>
  <c r="C71" i="1"/>
  <c r="AC71" i="1" s="1"/>
  <c r="AA70" i="1"/>
  <c r="Z70" i="1" s="1"/>
  <c r="N70" i="1" s="1"/>
  <c r="D70" i="1"/>
  <c r="E71" i="1"/>
  <c r="AE71" i="1" s="1"/>
  <c r="AD71" i="1" s="1"/>
  <c r="Y70" i="1"/>
  <c r="S69" i="1"/>
  <c r="T69" i="1"/>
  <c r="L69" i="1"/>
  <c r="W67" i="1"/>
  <c r="P67" i="1" s="1"/>
  <c r="U68" i="1"/>
  <c r="AP67" i="1" l="1"/>
  <c r="AI70" i="1"/>
  <c r="AG69" i="1"/>
  <c r="AN68" i="1"/>
  <c r="AP68" i="1" s="1"/>
  <c r="AH69" i="1"/>
  <c r="AK70" i="1"/>
  <c r="AQ72" i="1"/>
  <c r="AM70" i="1"/>
  <c r="AL69" i="1"/>
  <c r="AL70" i="1" s="1"/>
  <c r="AM71" i="1"/>
  <c r="AK71" i="1"/>
  <c r="V68" i="1"/>
  <c r="W68" i="1" s="1"/>
  <c r="P68" i="1" s="1"/>
  <c r="K70" i="1"/>
  <c r="J70" i="1"/>
  <c r="G70" i="1"/>
  <c r="H70" i="1" s="1"/>
  <c r="L70" i="1"/>
  <c r="S70" i="1"/>
  <c r="C72" i="1"/>
  <c r="AC72" i="1" s="1"/>
  <c r="AA71" i="1"/>
  <c r="Z71" i="1" s="1"/>
  <c r="N71" i="1" s="1"/>
  <c r="T70" i="1"/>
  <c r="Y71" i="1"/>
  <c r="E72" i="1"/>
  <c r="AE72" i="1" s="1"/>
  <c r="AD72" i="1" s="1"/>
  <c r="D71" i="1"/>
  <c r="AI71" i="1" l="1"/>
  <c r="U69" i="1"/>
  <c r="V69" i="1" s="1"/>
  <c r="AQ73" i="1"/>
  <c r="AH70" i="1"/>
  <c r="AN69" i="1"/>
  <c r="AP69" i="1" s="1"/>
  <c r="AG70" i="1"/>
  <c r="E73" i="1"/>
  <c r="AE73" i="1" s="1"/>
  <c r="AD73" i="1" s="1"/>
  <c r="D72" i="1"/>
  <c r="Y72" i="1"/>
  <c r="T71" i="1"/>
  <c r="M71" i="1"/>
  <c r="L71" i="1"/>
  <c r="J71" i="1"/>
  <c r="K71" i="1"/>
  <c r="G71" i="1"/>
  <c r="H71" i="1" s="1"/>
  <c r="C73" i="1"/>
  <c r="AC73" i="1" s="1"/>
  <c r="AA72" i="1"/>
  <c r="Z72" i="1" s="1"/>
  <c r="M70" i="1"/>
  <c r="S71" i="1"/>
  <c r="U70" i="1"/>
  <c r="V70" i="1" s="1"/>
  <c r="W69" i="1"/>
  <c r="P69" i="1" s="1"/>
  <c r="N72" i="1" l="1"/>
  <c r="AL71" i="1"/>
  <c r="AM72" i="1"/>
  <c r="AI72" i="1"/>
  <c r="AG71" i="1"/>
  <c r="AH71" i="1"/>
  <c r="AN70" i="1"/>
  <c r="AP70" i="1" s="1"/>
  <c r="AK72" i="1"/>
  <c r="AQ74" i="1"/>
  <c r="G72" i="1"/>
  <c r="H72" i="1" s="1"/>
  <c r="J72" i="1"/>
  <c r="K72" i="1"/>
  <c r="M72" i="1"/>
  <c r="S72" i="1"/>
  <c r="L72" i="1"/>
  <c r="C74" i="1"/>
  <c r="AC74" i="1" s="1"/>
  <c r="AA73" i="1"/>
  <c r="Z73" i="1" s="1"/>
  <c r="T72" i="1"/>
  <c r="D73" i="1"/>
  <c r="Y73" i="1"/>
  <c r="E74" i="1"/>
  <c r="AE74" i="1" s="1"/>
  <c r="AD74" i="1" s="1"/>
  <c r="U71" i="1"/>
  <c r="V71" i="1" s="1"/>
  <c r="W70" i="1"/>
  <c r="P70" i="1" s="1"/>
  <c r="N73" i="1" l="1"/>
  <c r="S73" i="1"/>
  <c r="M73" i="1" s="1"/>
  <c r="AM73" i="1"/>
  <c r="AK73" i="1"/>
  <c r="AI73" i="1"/>
  <c r="L73" i="1"/>
  <c r="AQ75" i="1"/>
  <c r="AG72" i="1"/>
  <c r="AN71" i="1"/>
  <c r="AP71" i="1" s="1"/>
  <c r="AH72" i="1"/>
  <c r="AI74" i="1"/>
  <c r="AM74" i="1"/>
  <c r="AK74" i="1"/>
  <c r="T73" i="1"/>
  <c r="AL72" i="1"/>
  <c r="D74" i="1"/>
  <c r="E75" i="1"/>
  <c r="AE75" i="1" s="1"/>
  <c r="AD75" i="1" s="1"/>
  <c r="Y74" i="1"/>
  <c r="AA74" i="1"/>
  <c r="Z74" i="1" s="1"/>
  <c r="N74" i="1" s="1"/>
  <c r="C75" i="1"/>
  <c r="AC75" i="1" s="1"/>
  <c r="G73" i="1"/>
  <c r="H73" i="1" s="1"/>
  <c r="K73" i="1"/>
  <c r="J73" i="1"/>
  <c r="U72" i="1"/>
  <c r="V72" i="1" s="1"/>
  <c r="W71" i="1"/>
  <c r="P71" i="1" s="1"/>
  <c r="AN72" i="1" l="1"/>
  <c r="AP72" i="1" s="1"/>
  <c r="AG73" i="1"/>
  <c r="AH73" i="1"/>
  <c r="AQ76" i="1"/>
  <c r="AL73" i="1"/>
  <c r="L74" i="1"/>
  <c r="J74" i="1"/>
  <c r="M74" i="1"/>
  <c r="G74" i="1"/>
  <c r="H74" i="1" s="1"/>
  <c r="K74" i="1"/>
  <c r="S74" i="1"/>
  <c r="T74" i="1"/>
  <c r="AA75" i="1"/>
  <c r="Z75" i="1" s="1"/>
  <c r="AK75" i="1" s="1"/>
  <c r="C76" i="1"/>
  <c r="AC76" i="1" s="1"/>
  <c r="D75" i="1"/>
  <c r="Y75" i="1"/>
  <c r="E76" i="1"/>
  <c r="AE76" i="1" s="1"/>
  <c r="AD76" i="1" s="1"/>
  <c r="U73" i="1"/>
  <c r="V73" i="1" s="1"/>
  <c r="W72" i="1"/>
  <c r="P72" i="1" s="1"/>
  <c r="AL74" i="1" l="1"/>
  <c r="AG74" i="1"/>
  <c r="AN73" i="1"/>
  <c r="AP73" i="1" s="1"/>
  <c r="AH74" i="1"/>
  <c r="M75" i="1"/>
  <c r="AQ77" i="1"/>
  <c r="AI75" i="1"/>
  <c r="S75" i="1"/>
  <c r="N75" i="1"/>
  <c r="AK76" i="1"/>
  <c r="AI76" i="1"/>
  <c r="AM76" i="1"/>
  <c r="AM75" i="1"/>
  <c r="G75" i="1"/>
  <c r="H75" i="1" s="1"/>
  <c r="J75" i="1"/>
  <c r="K75" i="1"/>
  <c r="C77" i="1"/>
  <c r="AC77" i="1" s="1"/>
  <c r="AA76" i="1"/>
  <c r="Z76" i="1" s="1"/>
  <c r="N76" i="1" s="1"/>
  <c r="D76" i="1"/>
  <c r="Y76" i="1"/>
  <c r="E77" i="1"/>
  <c r="AE77" i="1" s="1"/>
  <c r="AD77" i="1" s="1"/>
  <c r="T75" i="1"/>
  <c r="L75" i="1"/>
  <c r="U74" i="1"/>
  <c r="V74" i="1" s="1"/>
  <c r="W73" i="1"/>
  <c r="P73" i="1" s="1"/>
  <c r="T76" i="1" l="1"/>
  <c r="L76" i="1" s="1"/>
  <c r="AQ78" i="1"/>
  <c r="AL75" i="1"/>
  <c r="AH75" i="1"/>
  <c r="AG75" i="1"/>
  <c r="AN74" i="1"/>
  <c r="AP74" i="1" s="1"/>
  <c r="J76" i="1"/>
  <c r="G76" i="1"/>
  <c r="H76" i="1" s="1"/>
  <c r="K76" i="1"/>
  <c r="C78" i="1"/>
  <c r="AC78" i="1" s="1"/>
  <c r="AA77" i="1"/>
  <c r="Z77" i="1" s="1"/>
  <c r="AK77" i="1" s="1"/>
  <c r="D77" i="1"/>
  <c r="E78" i="1"/>
  <c r="AE78" i="1" s="1"/>
  <c r="AD78" i="1" s="1"/>
  <c r="Y77" i="1"/>
  <c r="S76" i="1"/>
  <c r="U75" i="1"/>
  <c r="V75" i="1" s="1"/>
  <c r="W74" i="1"/>
  <c r="P74" i="1" s="1"/>
  <c r="T77" i="1" l="1"/>
  <c r="AL76" i="1"/>
  <c r="AG76" i="1"/>
  <c r="AH76" i="1"/>
  <c r="AN75" i="1"/>
  <c r="AP75" i="1" s="1"/>
  <c r="AM77" i="1"/>
  <c r="AQ79" i="1"/>
  <c r="L77" i="1"/>
  <c r="M77" i="1"/>
  <c r="N77" i="1"/>
  <c r="AI77" i="1"/>
  <c r="S77" i="1"/>
  <c r="M76" i="1"/>
  <c r="Y78" i="1"/>
  <c r="E79" i="1"/>
  <c r="AE79" i="1" s="1"/>
  <c r="AD79" i="1" s="1"/>
  <c r="D78" i="1"/>
  <c r="G77" i="1"/>
  <c r="H77" i="1" s="1"/>
  <c r="K77" i="1"/>
  <c r="J77" i="1"/>
  <c r="C79" i="1"/>
  <c r="AC79" i="1" s="1"/>
  <c r="AA78" i="1"/>
  <c r="Z78" i="1" s="1"/>
  <c r="N78" i="1" s="1"/>
  <c r="U76" i="1"/>
  <c r="V76" i="1" s="1"/>
  <c r="W75" i="1"/>
  <c r="P75" i="1" s="1"/>
  <c r="AK78" i="1" l="1"/>
  <c r="AL77" i="1"/>
  <c r="AQ80" i="1"/>
  <c r="AI78" i="1"/>
  <c r="AM78" i="1"/>
  <c r="AG77" i="1"/>
  <c r="AH77" i="1"/>
  <c r="AN76" i="1"/>
  <c r="AP76" i="1" s="1"/>
  <c r="G78" i="1"/>
  <c r="H78" i="1" s="1"/>
  <c r="L78" i="1"/>
  <c r="J78" i="1"/>
  <c r="K78" i="1"/>
  <c r="T78" i="1"/>
  <c r="M78" i="1"/>
  <c r="C80" i="1"/>
  <c r="AC80" i="1" s="1"/>
  <c r="AA79" i="1"/>
  <c r="Z79" i="1" s="1"/>
  <c r="N79" i="1" s="1"/>
  <c r="D79" i="1"/>
  <c r="Y79" i="1"/>
  <c r="E80" i="1"/>
  <c r="AE80" i="1" s="1"/>
  <c r="AD80" i="1" s="1"/>
  <c r="S78" i="1"/>
  <c r="U77" i="1"/>
  <c r="V77" i="1" s="1"/>
  <c r="W76" i="1"/>
  <c r="P76" i="1" s="1"/>
  <c r="S79" i="1" l="1"/>
  <c r="M79" i="1" s="1"/>
  <c r="AQ81" i="1"/>
  <c r="AK79" i="1"/>
  <c r="AL78" i="1"/>
  <c r="AM79" i="1"/>
  <c r="AN77" i="1"/>
  <c r="AP77" i="1" s="1"/>
  <c r="AH78" i="1"/>
  <c r="AG78" i="1"/>
  <c r="AI79" i="1"/>
  <c r="J79" i="1"/>
  <c r="K79" i="1"/>
  <c r="G79" i="1"/>
  <c r="H79" i="1" s="1"/>
  <c r="Y80" i="1"/>
  <c r="D80" i="1"/>
  <c r="E81" i="1"/>
  <c r="AE81" i="1" s="1"/>
  <c r="AD81" i="1" s="1"/>
  <c r="T79" i="1"/>
  <c r="L79" i="1"/>
  <c r="C81" i="1"/>
  <c r="AC81" i="1" s="1"/>
  <c r="AA80" i="1"/>
  <c r="Z80" i="1" s="1"/>
  <c r="N80" i="1" s="1"/>
  <c r="U78" i="1"/>
  <c r="V78" i="1" s="1"/>
  <c r="W77" i="1"/>
  <c r="P77" i="1" s="1"/>
  <c r="AL79" i="1" l="1"/>
  <c r="AG79" i="1"/>
  <c r="AN78" i="1"/>
  <c r="AP78" i="1" s="1"/>
  <c r="AH79" i="1"/>
  <c r="AM80" i="1"/>
  <c r="AQ82" i="1"/>
  <c r="AI80" i="1"/>
  <c r="AK80" i="1"/>
  <c r="L80" i="1"/>
  <c r="S80" i="1"/>
  <c r="T80" i="1"/>
  <c r="AA81" i="1"/>
  <c r="Z81" i="1" s="1"/>
  <c r="N81" i="1" s="1"/>
  <c r="C82" i="1"/>
  <c r="AC82" i="1" s="1"/>
  <c r="E82" i="1"/>
  <c r="AE82" i="1" s="1"/>
  <c r="AD82" i="1" s="1"/>
  <c r="D81" i="1"/>
  <c r="Y81" i="1"/>
  <c r="K80" i="1"/>
  <c r="G80" i="1"/>
  <c r="H80" i="1" s="1"/>
  <c r="J80" i="1"/>
  <c r="M80" i="1"/>
  <c r="U79" i="1"/>
  <c r="V79" i="1" s="1"/>
  <c r="W78" i="1"/>
  <c r="P78" i="1" s="1"/>
  <c r="AI81" i="1" l="1"/>
  <c r="AM81" i="1"/>
  <c r="AL80" i="1"/>
  <c r="AQ83" i="1"/>
  <c r="AG80" i="1"/>
  <c r="AN79" i="1"/>
  <c r="AP79" i="1" s="1"/>
  <c r="AH80" i="1"/>
  <c r="AK81" i="1"/>
  <c r="J81" i="1"/>
  <c r="G81" i="1"/>
  <c r="H81" i="1" s="1"/>
  <c r="K81" i="1"/>
  <c r="L81" i="1"/>
  <c r="T81" i="1"/>
  <c r="M81" i="1"/>
  <c r="S81" i="1"/>
  <c r="Y82" i="1"/>
  <c r="E83" i="1"/>
  <c r="AE83" i="1" s="1"/>
  <c r="AD83" i="1" s="1"/>
  <c r="D82" i="1"/>
  <c r="C83" i="1"/>
  <c r="AC83" i="1" s="1"/>
  <c r="AA82" i="1"/>
  <c r="Z82" i="1" s="1"/>
  <c r="N82" i="1" s="1"/>
  <c r="U80" i="1"/>
  <c r="V80" i="1" s="1"/>
  <c r="W79" i="1"/>
  <c r="P79" i="1" s="1"/>
  <c r="AM82" i="1" l="1"/>
  <c r="AK82" i="1"/>
  <c r="AI82" i="1"/>
  <c r="AG81" i="1"/>
  <c r="AH81" i="1"/>
  <c r="AN80" i="1"/>
  <c r="AP80" i="1" s="1"/>
  <c r="AQ84" i="1"/>
  <c r="AL81" i="1"/>
  <c r="J82" i="1"/>
  <c r="G82" i="1"/>
  <c r="H82" i="1" s="1"/>
  <c r="L82" i="1"/>
  <c r="K82" i="1"/>
  <c r="S82" i="1"/>
  <c r="T82" i="1"/>
  <c r="C84" i="1"/>
  <c r="AC84" i="1" s="1"/>
  <c r="AA83" i="1"/>
  <c r="Z83" i="1" s="1"/>
  <c r="D83" i="1"/>
  <c r="E84" i="1"/>
  <c r="AE84" i="1" s="1"/>
  <c r="AD84" i="1" s="1"/>
  <c r="Y83" i="1"/>
  <c r="W80" i="1"/>
  <c r="P80" i="1" s="1"/>
  <c r="U81" i="1"/>
  <c r="V81" i="1" s="1"/>
  <c r="AL82" i="1" l="1"/>
  <c r="AQ85" i="1"/>
  <c r="L83" i="1"/>
  <c r="N83" i="1"/>
  <c r="AG82" i="1"/>
  <c r="AN81" i="1"/>
  <c r="AP81" i="1" s="1"/>
  <c r="AH82" i="1"/>
  <c r="AK83" i="1"/>
  <c r="AM83" i="1"/>
  <c r="AI83" i="1"/>
  <c r="M83" i="1"/>
  <c r="S83" i="1"/>
  <c r="M82" i="1"/>
  <c r="T83" i="1"/>
  <c r="D84" i="1"/>
  <c r="Y84" i="1"/>
  <c r="E85" i="1"/>
  <c r="AE85" i="1" s="1"/>
  <c r="AD85" i="1" s="1"/>
  <c r="G83" i="1"/>
  <c r="H83" i="1" s="1"/>
  <c r="K83" i="1"/>
  <c r="J83" i="1"/>
  <c r="AA84" i="1"/>
  <c r="Z84" i="1" s="1"/>
  <c r="N84" i="1" s="1"/>
  <c r="C85" i="1"/>
  <c r="AC85" i="1" s="1"/>
  <c r="U82" i="1"/>
  <c r="V82" i="1" s="1"/>
  <c r="W81" i="1"/>
  <c r="P81" i="1" s="1"/>
  <c r="AK84" i="1" l="1"/>
  <c r="AM84" i="1"/>
  <c r="AI84" i="1"/>
  <c r="AN82" i="1"/>
  <c r="AP82" i="1" s="1"/>
  <c r="AG83" i="1"/>
  <c r="AH83" i="1"/>
  <c r="AL83" i="1"/>
  <c r="AQ86" i="1"/>
  <c r="C86" i="1"/>
  <c r="AC86" i="1" s="1"/>
  <c r="AA85" i="1"/>
  <c r="Z85" i="1" s="1"/>
  <c r="AI85" i="1" s="1"/>
  <c r="M84" i="1"/>
  <c r="G84" i="1"/>
  <c r="H84" i="1" s="1"/>
  <c r="J84" i="1"/>
  <c r="K84" i="1"/>
  <c r="E86" i="1"/>
  <c r="AE86" i="1" s="1"/>
  <c r="AD86" i="1" s="1"/>
  <c r="Y85" i="1"/>
  <c r="D85" i="1"/>
  <c r="L84" i="1"/>
  <c r="S84" i="1"/>
  <c r="T84" i="1"/>
  <c r="U83" i="1"/>
  <c r="V83" i="1" s="1"/>
  <c r="W82" i="1"/>
  <c r="P82" i="1" s="1"/>
  <c r="AL84" i="1" l="1"/>
  <c r="S85" i="1"/>
  <c r="T85" i="1"/>
  <c r="AQ87" i="1"/>
  <c r="AN83" i="1"/>
  <c r="AP83" i="1" s="1"/>
  <c r="AH84" i="1"/>
  <c r="AG84" i="1"/>
  <c r="L85" i="1"/>
  <c r="N85" i="1"/>
  <c r="AM85" i="1"/>
  <c r="AK85" i="1"/>
  <c r="M85" i="1"/>
  <c r="D86" i="1"/>
  <c r="E87" i="1"/>
  <c r="AE87" i="1" s="1"/>
  <c r="AD87" i="1" s="1"/>
  <c r="Y86" i="1"/>
  <c r="J85" i="1"/>
  <c r="G85" i="1"/>
  <c r="H85" i="1" s="1"/>
  <c r="K85" i="1"/>
  <c r="AA86" i="1"/>
  <c r="Z86" i="1" s="1"/>
  <c r="N86" i="1" s="1"/>
  <c r="C87" i="1"/>
  <c r="AC87" i="1" s="1"/>
  <c r="U84" i="1"/>
  <c r="V84" i="1" s="1"/>
  <c r="W83" i="1"/>
  <c r="P83" i="1" s="1"/>
  <c r="AI86" i="1" l="1"/>
  <c r="AM86" i="1"/>
  <c r="AL85" i="1"/>
  <c r="AG85" i="1"/>
  <c r="AN84" i="1"/>
  <c r="AP84" i="1" s="1"/>
  <c r="AH85" i="1"/>
  <c r="AK86" i="1"/>
  <c r="AQ88" i="1"/>
  <c r="J86" i="1"/>
  <c r="M86" i="1"/>
  <c r="L86" i="1"/>
  <c r="G86" i="1"/>
  <c r="H86" i="1" s="1"/>
  <c r="K86" i="1"/>
  <c r="T86" i="1"/>
  <c r="S86" i="1"/>
  <c r="C88" i="1"/>
  <c r="AC88" i="1" s="1"/>
  <c r="AA87" i="1"/>
  <c r="Z87" i="1" s="1"/>
  <c r="D87" i="1"/>
  <c r="Y87" i="1"/>
  <c r="E88" i="1"/>
  <c r="AE88" i="1" s="1"/>
  <c r="AD88" i="1" s="1"/>
  <c r="U85" i="1"/>
  <c r="V85" i="1" s="1"/>
  <c r="W84" i="1"/>
  <c r="P84" i="1" s="1"/>
  <c r="M87" i="1" l="1"/>
  <c r="N87" i="1"/>
  <c r="AK87" i="1"/>
  <c r="AM87" i="1"/>
  <c r="AI87" i="1"/>
  <c r="AL86" i="1"/>
  <c r="AQ89" i="1"/>
  <c r="AG86" i="1"/>
  <c r="AN85" i="1"/>
  <c r="AP85" i="1" s="1"/>
  <c r="AH86" i="1"/>
  <c r="L87" i="1"/>
  <c r="S87" i="1"/>
  <c r="AA88" i="1"/>
  <c r="Z88" i="1" s="1"/>
  <c r="C89" i="1"/>
  <c r="AC89" i="1" s="1"/>
  <c r="T87" i="1"/>
  <c r="E89" i="1"/>
  <c r="AE89" i="1" s="1"/>
  <c r="AD89" i="1" s="1"/>
  <c r="D88" i="1"/>
  <c r="Y88" i="1"/>
  <c r="J87" i="1"/>
  <c r="K87" i="1"/>
  <c r="G87" i="1"/>
  <c r="H87" i="1" s="1"/>
  <c r="W85" i="1"/>
  <c r="P85" i="1" s="1"/>
  <c r="U86" i="1"/>
  <c r="V86" i="1" s="1"/>
  <c r="N88" i="1" l="1"/>
  <c r="AI88" i="1"/>
  <c r="AL87" i="1"/>
  <c r="AK88" i="1"/>
  <c r="AM88" i="1"/>
  <c r="AN86" i="1"/>
  <c r="AP86" i="1" s="1"/>
  <c r="AH87" i="1"/>
  <c r="AG87" i="1"/>
  <c r="AQ90" i="1"/>
  <c r="J88" i="1"/>
  <c r="K88" i="1"/>
  <c r="G88" i="1"/>
  <c r="H88" i="1" s="1"/>
  <c r="E90" i="1"/>
  <c r="AE90" i="1" s="1"/>
  <c r="AD90" i="1" s="1"/>
  <c r="D89" i="1"/>
  <c r="Y89" i="1"/>
  <c r="T88" i="1"/>
  <c r="C90" i="1"/>
  <c r="AC90" i="1" s="1"/>
  <c r="AA89" i="1"/>
  <c r="Z89" i="1" s="1"/>
  <c r="N89" i="1" s="1"/>
  <c r="U87" i="1"/>
  <c r="V87" i="1" s="1"/>
  <c r="W86" i="1"/>
  <c r="P86" i="1" s="1"/>
  <c r="AK89" i="1" l="1"/>
  <c r="AM89" i="1"/>
  <c r="AI89" i="1"/>
  <c r="AG88" i="1"/>
  <c r="AN87" i="1"/>
  <c r="AP87" i="1" s="1"/>
  <c r="AH88" i="1"/>
  <c r="AQ91" i="1"/>
  <c r="AL88" i="1"/>
  <c r="K89" i="1"/>
  <c r="G89" i="1"/>
  <c r="H89" i="1" s="1"/>
  <c r="L89" i="1"/>
  <c r="M89" i="1"/>
  <c r="J89" i="1"/>
  <c r="S88" i="1"/>
  <c r="T89" i="1"/>
  <c r="L88" i="1"/>
  <c r="Y90" i="1"/>
  <c r="E91" i="1"/>
  <c r="AE91" i="1" s="1"/>
  <c r="AD91" i="1" s="1"/>
  <c r="D90" i="1"/>
  <c r="C91" i="1"/>
  <c r="AC91" i="1" s="1"/>
  <c r="AA90" i="1"/>
  <c r="Z90" i="1" s="1"/>
  <c r="N90" i="1" s="1"/>
  <c r="W87" i="1"/>
  <c r="P87" i="1" s="1"/>
  <c r="U88" i="1"/>
  <c r="V88" i="1" s="1"/>
  <c r="AL89" i="1" l="1"/>
  <c r="AQ92" i="1"/>
  <c r="AN88" i="1"/>
  <c r="AP88" i="1" s="1"/>
  <c r="AG89" i="1"/>
  <c r="AH89" i="1"/>
  <c r="AM90" i="1"/>
  <c r="AK90" i="1"/>
  <c r="AI90" i="1"/>
  <c r="J90" i="1"/>
  <c r="L90" i="1"/>
  <c r="K90" i="1"/>
  <c r="G90" i="1"/>
  <c r="H90" i="1" s="1"/>
  <c r="M90" i="1"/>
  <c r="Y91" i="1"/>
  <c r="E92" i="1"/>
  <c r="AE92" i="1" s="1"/>
  <c r="AD92" i="1" s="1"/>
  <c r="D91" i="1"/>
  <c r="AA91" i="1"/>
  <c r="Z91" i="1" s="1"/>
  <c r="N91" i="1" s="1"/>
  <c r="C92" i="1"/>
  <c r="AC92" i="1" s="1"/>
  <c r="M88" i="1"/>
  <c r="S89" i="1"/>
  <c r="S90" i="1" s="1"/>
  <c r="T90" i="1"/>
  <c r="U89" i="1"/>
  <c r="V89" i="1" s="1"/>
  <c r="W88" i="1"/>
  <c r="AK91" i="1" l="1"/>
  <c r="AL90" i="1"/>
  <c r="AQ93" i="1"/>
  <c r="AI91" i="1"/>
  <c r="AM91" i="1"/>
  <c r="AH90" i="1"/>
  <c r="AN89" i="1"/>
  <c r="AP89" i="1" s="1"/>
  <c r="AG90" i="1"/>
  <c r="K91" i="1"/>
  <c r="J91" i="1"/>
  <c r="G91" i="1"/>
  <c r="H91" i="1" s="1"/>
  <c r="L91" i="1"/>
  <c r="S91" i="1"/>
  <c r="AA92" i="1"/>
  <c r="Z92" i="1" s="1"/>
  <c r="C93" i="1"/>
  <c r="AC93" i="1" s="1"/>
  <c r="T91" i="1"/>
  <c r="D92" i="1"/>
  <c r="E93" i="1"/>
  <c r="AE93" i="1" s="1"/>
  <c r="AD93" i="1" s="1"/>
  <c r="Y92" i="1"/>
  <c r="P88" i="1"/>
  <c r="U90" i="1"/>
  <c r="V90" i="1" s="1"/>
  <c r="W89" i="1"/>
  <c r="P89" i="1" s="1"/>
  <c r="AG91" i="1" l="1"/>
  <c r="AN90" i="1"/>
  <c r="AP90" i="1" s="1"/>
  <c r="AH91" i="1"/>
  <c r="M92" i="1"/>
  <c r="N92" i="1"/>
  <c r="AI92" i="1"/>
  <c r="AL91" i="1"/>
  <c r="T92" i="1"/>
  <c r="AM92" i="1"/>
  <c r="AK92" i="1"/>
  <c r="AQ94" i="1"/>
  <c r="L92" i="1"/>
  <c r="E94" i="1"/>
  <c r="AE94" i="1" s="1"/>
  <c r="AD94" i="1" s="1"/>
  <c r="D93" i="1"/>
  <c r="Y93" i="1"/>
  <c r="G92" i="1"/>
  <c r="H92" i="1" s="1"/>
  <c r="J92" i="1"/>
  <c r="K92" i="1"/>
  <c r="S92" i="1"/>
  <c r="M91" i="1"/>
  <c r="AA93" i="1"/>
  <c r="Z93" i="1" s="1"/>
  <c r="N93" i="1" s="1"/>
  <c r="C94" i="1"/>
  <c r="AC94" i="1" s="1"/>
  <c r="W90" i="1"/>
  <c r="P90" i="1" s="1"/>
  <c r="U91" i="1"/>
  <c r="V91" i="1" s="1"/>
  <c r="AM93" i="1" l="1"/>
  <c r="AL92" i="1"/>
  <c r="AQ95" i="1"/>
  <c r="AK93" i="1"/>
  <c r="AI93" i="1"/>
  <c r="AN91" i="1"/>
  <c r="AP91" i="1" s="1"/>
  <c r="AG92" i="1"/>
  <c r="AH92" i="1"/>
  <c r="K93" i="1"/>
  <c r="G93" i="1"/>
  <c r="H93" i="1" s="1"/>
  <c r="L93" i="1"/>
  <c r="J93" i="1"/>
  <c r="M93" i="1"/>
  <c r="T93" i="1"/>
  <c r="S93" i="1"/>
  <c r="AA94" i="1"/>
  <c r="Z94" i="1" s="1"/>
  <c r="N94" i="1" s="1"/>
  <c r="C95" i="1"/>
  <c r="AC95" i="1" s="1"/>
  <c r="Y94" i="1"/>
  <c r="E95" i="1"/>
  <c r="AE95" i="1" s="1"/>
  <c r="AD95" i="1" s="1"/>
  <c r="D94" i="1"/>
  <c r="U92" i="1"/>
  <c r="V92" i="1" s="1"/>
  <c r="W91" i="1"/>
  <c r="P91" i="1" s="1"/>
  <c r="AH93" i="1" l="1"/>
  <c r="AG93" i="1"/>
  <c r="AN92" i="1"/>
  <c r="AP92" i="1" s="1"/>
  <c r="AL93" i="1"/>
  <c r="AQ96" i="1"/>
  <c r="AM94" i="1"/>
  <c r="AI94" i="1"/>
  <c r="AK94" i="1"/>
  <c r="K94" i="1"/>
  <c r="J94" i="1"/>
  <c r="G94" i="1"/>
  <c r="H94" i="1" s="1"/>
  <c r="L94" i="1"/>
  <c r="S94" i="1"/>
  <c r="M94" i="1" s="1"/>
  <c r="C96" i="1"/>
  <c r="AC96" i="1" s="1"/>
  <c r="AA95" i="1"/>
  <c r="Z95" i="1" s="1"/>
  <c r="N95" i="1" s="1"/>
  <c r="T94" i="1"/>
  <c r="E96" i="1"/>
  <c r="AE96" i="1" s="1"/>
  <c r="AD96" i="1" s="1"/>
  <c r="Y95" i="1"/>
  <c r="D95" i="1"/>
  <c r="U93" i="1"/>
  <c r="V93" i="1" s="1"/>
  <c r="W92" i="1"/>
  <c r="P92" i="1" s="1"/>
  <c r="AL94" i="1" l="1"/>
  <c r="AQ97" i="1"/>
  <c r="AK95" i="1"/>
  <c r="AI95" i="1"/>
  <c r="AM95" i="1"/>
  <c r="AN93" i="1"/>
  <c r="AP93" i="1" s="1"/>
  <c r="AG94" i="1"/>
  <c r="AH94" i="1"/>
  <c r="G95" i="1"/>
  <c r="H95" i="1" s="1"/>
  <c r="J95" i="1"/>
  <c r="K95" i="1"/>
  <c r="L95" i="1"/>
  <c r="M95" i="1"/>
  <c r="S95" i="1"/>
  <c r="T95" i="1"/>
  <c r="D96" i="1"/>
  <c r="Y96" i="1"/>
  <c r="E97" i="1"/>
  <c r="AE97" i="1" s="1"/>
  <c r="AD97" i="1" s="1"/>
  <c r="AA96" i="1"/>
  <c r="Z96" i="1" s="1"/>
  <c r="N96" i="1" s="1"/>
  <c r="C97" i="1"/>
  <c r="AC97" i="1" s="1"/>
  <c r="U94" i="1"/>
  <c r="V94" i="1" s="1"/>
  <c r="W93" i="1"/>
  <c r="P93" i="1" s="1"/>
  <c r="AN94" i="1" l="1"/>
  <c r="AP94" i="1" s="1"/>
  <c r="AH95" i="1"/>
  <c r="AG95" i="1"/>
  <c r="AI96" i="1"/>
  <c r="AL95" i="1"/>
  <c r="AK96" i="1"/>
  <c r="AM96" i="1"/>
  <c r="AQ98" i="1"/>
  <c r="L96" i="1"/>
  <c r="J96" i="1"/>
  <c r="G96" i="1"/>
  <c r="H96" i="1" s="1"/>
  <c r="K96" i="1"/>
  <c r="M96" i="1"/>
  <c r="AA97" i="1"/>
  <c r="Z97" i="1" s="1"/>
  <c r="AM97" i="1" s="1"/>
  <c r="C98" i="1"/>
  <c r="AC98" i="1" s="1"/>
  <c r="Y97" i="1"/>
  <c r="D97" i="1"/>
  <c r="E98" i="1"/>
  <c r="AE98" i="1" s="1"/>
  <c r="AD98" i="1" s="1"/>
  <c r="T96" i="1"/>
  <c r="S96" i="1"/>
  <c r="U95" i="1"/>
  <c r="V95" i="1" s="1"/>
  <c r="W94" i="1"/>
  <c r="P94" i="1" s="1"/>
  <c r="S97" i="1" l="1"/>
  <c r="M97" i="1" s="1"/>
  <c r="AQ99" i="1"/>
  <c r="AH96" i="1"/>
  <c r="AG96" i="1"/>
  <c r="AN95" i="1"/>
  <c r="AP95" i="1" s="1"/>
  <c r="L97" i="1"/>
  <c r="N97" i="1"/>
  <c r="AL96" i="1"/>
  <c r="AK97" i="1"/>
  <c r="AI97" i="1"/>
  <c r="T97" i="1"/>
  <c r="J97" i="1"/>
  <c r="G97" i="1"/>
  <c r="H97" i="1" s="1"/>
  <c r="K97" i="1"/>
  <c r="AA98" i="1"/>
  <c r="Z98" i="1" s="1"/>
  <c r="C99" i="1"/>
  <c r="AC99" i="1" s="1"/>
  <c r="D98" i="1"/>
  <c r="Y98" i="1"/>
  <c r="E99" i="1"/>
  <c r="AE99" i="1" s="1"/>
  <c r="AD99" i="1" s="1"/>
  <c r="U96" i="1"/>
  <c r="V96" i="1" s="1"/>
  <c r="W95" i="1"/>
  <c r="P95" i="1" s="1"/>
  <c r="AL97" i="1" l="1"/>
  <c r="S98" i="1"/>
  <c r="N98" i="1"/>
  <c r="AK98" i="1"/>
  <c r="AH97" i="1"/>
  <c r="AN96" i="1"/>
  <c r="AP96" i="1" s="1"/>
  <c r="AG97" i="1"/>
  <c r="AM98" i="1"/>
  <c r="AI98" i="1"/>
  <c r="AQ100" i="1"/>
  <c r="AA99" i="1"/>
  <c r="Z99" i="1" s="1"/>
  <c r="N99" i="1" s="1"/>
  <c r="C100" i="1"/>
  <c r="AC100" i="1" s="1"/>
  <c r="E100" i="1"/>
  <c r="AE100" i="1" s="1"/>
  <c r="AD100" i="1" s="1"/>
  <c r="D99" i="1"/>
  <c r="Y99" i="1"/>
  <c r="G98" i="1"/>
  <c r="H98" i="1" s="1"/>
  <c r="J98" i="1"/>
  <c r="K98" i="1"/>
  <c r="M98" i="1"/>
  <c r="L98" i="1"/>
  <c r="T98" i="1"/>
  <c r="U97" i="1"/>
  <c r="V97" i="1" s="1"/>
  <c r="W96" i="1"/>
  <c r="P96" i="1" s="1"/>
  <c r="AI99" i="1" l="1"/>
  <c r="AM99" i="1"/>
  <c r="AG98" i="1"/>
  <c r="AN97" i="1"/>
  <c r="AP97" i="1" s="1"/>
  <c r="AH98" i="1"/>
  <c r="AQ101" i="1"/>
  <c r="AK99" i="1"/>
  <c r="AL98" i="1"/>
  <c r="AL99" i="1" s="1"/>
  <c r="G99" i="1"/>
  <c r="H99" i="1" s="1"/>
  <c r="M99" i="1"/>
  <c r="J99" i="1"/>
  <c r="K99" i="1"/>
  <c r="L99" i="1"/>
  <c r="S99" i="1"/>
  <c r="T99" i="1"/>
  <c r="E101" i="1"/>
  <c r="AE101" i="1" s="1"/>
  <c r="AD101" i="1" s="1"/>
  <c r="Y100" i="1"/>
  <c r="D100" i="1"/>
  <c r="AA100" i="1"/>
  <c r="Z100" i="1" s="1"/>
  <c r="N100" i="1" s="1"/>
  <c r="C101" i="1"/>
  <c r="AC101" i="1" s="1"/>
  <c r="U98" i="1"/>
  <c r="V98" i="1" s="1"/>
  <c r="W97" i="1"/>
  <c r="P97" i="1" s="1"/>
  <c r="AK100" i="1" l="1"/>
  <c r="AM100" i="1"/>
  <c r="AI100" i="1"/>
  <c r="AQ102" i="1"/>
  <c r="AH99" i="1"/>
  <c r="AG99" i="1"/>
  <c r="AN98" i="1"/>
  <c r="AP98" i="1" s="1"/>
  <c r="G100" i="1"/>
  <c r="H100" i="1" s="1"/>
  <c r="K100" i="1"/>
  <c r="J100" i="1"/>
  <c r="T100" i="1"/>
  <c r="AA101" i="1"/>
  <c r="Z101" i="1" s="1"/>
  <c r="N101" i="1" s="1"/>
  <c r="C102" i="1"/>
  <c r="AC102" i="1" s="1"/>
  <c r="D101" i="1"/>
  <c r="E102" i="1"/>
  <c r="AE102" i="1" s="1"/>
  <c r="AD102" i="1" s="1"/>
  <c r="Y101" i="1"/>
  <c r="U99" i="1"/>
  <c r="V99" i="1" s="1"/>
  <c r="W98" i="1"/>
  <c r="P98" i="1" s="1"/>
  <c r="AK101" i="1" l="1"/>
  <c r="AG100" i="1"/>
  <c r="AH100" i="1"/>
  <c r="AN99" i="1"/>
  <c r="AP99" i="1" s="1"/>
  <c r="AQ103" i="1"/>
  <c r="AM101" i="1"/>
  <c r="AI101" i="1"/>
  <c r="J101" i="1"/>
  <c r="K101" i="1"/>
  <c r="M101" i="1"/>
  <c r="G101" i="1"/>
  <c r="H101" i="1" s="1"/>
  <c r="L101" i="1"/>
  <c r="Y102" i="1"/>
  <c r="D102" i="1"/>
  <c r="E103" i="1"/>
  <c r="AE103" i="1" s="1"/>
  <c r="AD103" i="1" s="1"/>
  <c r="C103" i="1"/>
  <c r="AC103" i="1" s="1"/>
  <c r="AA102" i="1"/>
  <c r="Z102" i="1" s="1"/>
  <c r="N102" i="1" s="1"/>
  <c r="S100" i="1"/>
  <c r="L100" i="1"/>
  <c r="T101" i="1"/>
  <c r="U100" i="1"/>
  <c r="V100" i="1" s="1"/>
  <c r="W99" i="1"/>
  <c r="P99" i="1" s="1"/>
  <c r="AI102" i="1" l="1"/>
  <c r="AQ104" i="1"/>
  <c r="AM102" i="1"/>
  <c r="AL100" i="1"/>
  <c r="AG101" i="1"/>
  <c r="AN100" i="1"/>
  <c r="AH101" i="1"/>
  <c r="AK102" i="1"/>
  <c r="G102" i="1"/>
  <c r="H102" i="1" s="1"/>
  <c r="J102" i="1"/>
  <c r="L102" i="1"/>
  <c r="K102" i="1"/>
  <c r="M102" i="1"/>
  <c r="C104" i="1"/>
  <c r="AC104" i="1" s="1"/>
  <c r="AA103" i="1"/>
  <c r="Z103" i="1" s="1"/>
  <c r="N103" i="1" s="1"/>
  <c r="M100" i="1"/>
  <c r="S101" i="1"/>
  <c r="S102" i="1" s="1"/>
  <c r="D103" i="1"/>
  <c r="Y103" i="1"/>
  <c r="E104" i="1"/>
  <c r="AE104" i="1" s="1"/>
  <c r="AD104" i="1" s="1"/>
  <c r="T102" i="1"/>
  <c r="U101" i="1"/>
  <c r="V101" i="1" s="1"/>
  <c r="W100" i="1"/>
  <c r="AL101" i="1" l="1"/>
  <c r="AL102" i="1" s="1"/>
  <c r="AM103" i="1"/>
  <c r="AI103" i="1"/>
  <c r="AQ105" i="1"/>
  <c r="AP100" i="1"/>
  <c r="AG102" i="1"/>
  <c r="AN101" i="1"/>
  <c r="AH102" i="1"/>
  <c r="AK103" i="1"/>
  <c r="G103" i="1"/>
  <c r="H103" i="1" s="1"/>
  <c r="K103" i="1"/>
  <c r="J103" i="1"/>
  <c r="L103" i="1"/>
  <c r="S103" i="1"/>
  <c r="D104" i="1"/>
  <c r="E105" i="1"/>
  <c r="AE105" i="1" s="1"/>
  <c r="AD105" i="1" s="1"/>
  <c r="Y104" i="1"/>
  <c r="AA104" i="1"/>
  <c r="Z104" i="1" s="1"/>
  <c r="N104" i="1" s="1"/>
  <c r="C105" i="1"/>
  <c r="AC105" i="1" s="1"/>
  <c r="P100" i="1"/>
  <c r="T103" i="1"/>
  <c r="U102" i="1"/>
  <c r="V102" i="1" s="1"/>
  <c r="W101" i="1"/>
  <c r="P101" i="1" s="1"/>
  <c r="AP101" i="1" l="1"/>
  <c r="AL103" i="1"/>
  <c r="AK104" i="1"/>
  <c r="AM104" i="1"/>
  <c r="AG103" i="1"/>
  <c r="AH103" i="1"/>
  <c r="AN102" i="1"/>
  <c r="AP102" i="1" s="1"/>
  <c r="AQ106" i="1"/>
  <c r="AI104" i="1"/>
  <c r="K104" i="1"/>
  <c r="J104" i="1"/>
  <c r="L104" i="1"/>
  <c r="M104" i="1"/>
  <c r="G104" i="1"/>
  <c r="H104" i="1" s="1"/>
  <c r="T104" i="1"/>
  <c r="AA105" i="1"/>
  <c r="Z105" i="1" s="1"/>
  <c r="C106" i="1"/>
  <c r="AC106" i="1" s="1"/>
  <c r="E106" i="1"/>
  <c r="AE106" i="1" s="1"/>
  <c r="AD106" i="1" s="1"/>
  <c r="D105" i="1"/>
  <c r="Y105" i="1"/>
  <c r="M103" i="1"/>
  <c r="S104" i="1"/>
  <c r="U103" i="1"/>
  <c r="V103" i="1" s="1"/>
  <c r="W102" i="1"/>
  <c r="P102" i="1" s="1"/>
  <c r="L105" i="1" l="1"/>
  <c r="N105" i="1"/>
  <c r="AK105" i="1"/>
  <c r="AQ107" i="1"/>
  <c r="AI105" i="1"/>
  <c r="AN103" i="1"/>
  <c r="AP103" i="1" s="1"/>
  <c r="AH104" i="1"/>
  <c r="AG104" i="1"/>
  <c r="AM105" i="1"/>
  <c r="AL104" i="1"/>
  <c r="D106" i="1"/>
  <c r="Y106" i="1"/>
  <c r="E107" i="1"/>
  <c r="AE107" i="1" s="1"/>
  <c r="AD107" i="1" s="1"/>
  <c r="AA106" i="1"/>
  <c r="Z106" i="1" s="1"/>
  <c r="N106" i="1" s="1"/>
  <c r="C107" i="1"/>
  <c r="AC107" i="1" s="1"/>
  <c r="T105" i="1"/>
  <c r="M105" i="1"/>
  <c r="K105" i="1"/>
  <c r="G105" i="1"/>
  <c r="H105" i="1" s="1"/>
  <c r="J105" i="1"/>
  <c r="S105" i="1"/>
  <c r="U104" i="1"/>
  <c r="V104" i="1" s="1"/>
  <c r="W103" i="1"/>
  <c r="P103" i="1" s="1"/>
  <c r="AL105" i="1" l="1"/>
  <c r="AG105" i="1"/>
  <c r="AH105" i="1"/>
  <c r="AN104" i="1"/>
  <c r="AP104" i="1" s="1"/>
  <c r="AQ108" i="1"/>
  <c r="AM106" i="1"/>
  <c r="AK106" i="1"/>
  <c r="AI106" i="1"/>
  <c r="G106" i="1"/>
  <c r="H106" i="1" s="1"/>
  <c r="K106" i="1"/>
  <c r="L106" i="1"/>
  <c r="J106" i="1"/>
  <c r="T106" i="1"/>
  <c r="AA107" i="1"/>
  <c r="Z107" i="1" s="1"/>
  <c r="N107" i="1" s="1"/>
  <c r="C108" i="1"/>
  <c r="AC108" i="1" s="1"/>
  <c r="S106" i="1"/>
  <c r="Y107" i="1"/>
  <c r="E108" i="1"/>
  <c r="AE108" i="1" s="1"/>
  <c r="AD108" i="1" s="1"/>
  <c r="D107" i="1"/>
  <c r="U105" i="1"/>
  <c r="V105" i="1" s="1"/>
  <c r="W104" i="1"/>
  <c r="P104" i="1" s="1"/>
  <c r="AK107" i="1" l="1"/>
  <c r="AQ109" i="1"/>
  <c r="AM107" i="1"/>
  <c r="AI107" i="1"/>
  <c r="AL106" i="1"/>
  <c r="AN105" i="1"/>
  <c r="AP105" i="1" s="1"/>
  <c r="AH106" i="1"/>
  <c r="AG106" i="1"/>
  <c r="C109" i="1"/>
  <c r="AC109" i="1" s="1"/>
  <c r="AA108" i="1"/>
  <c r="Z108" i="1" s="1"/>
  <c r="N108" i="1" s="1"/>
  <c r="G107" i="1"/>
  <c r="H107" i="1" s="1"/>
  <c r="M107" i="1"/>
  <c r="J107" i="1"/>
  <c r="L107" i="1"/>
  <c r="K107" i="1"/>
  <c r="E109" i="1"/>
  <c r="AE109" i="1" s="1"/>
  <c r="AD109" i="1" s="1"/>
  <c r="Y108" i="1"/>
  <c r="D108" i="1"/>
  <c r="M106" i="1"/>
  <c r="S107" i="1"/>
  <c r="T107" i="1"/>
  <c r="U106" i="1"/>
  <c r="V106" i="1" s="1"/>
  <c r="W105" i="1"/>
  <c r="P105" i="1" s="1"/>
  <c r="AL107" i="1" l="1"/>
  <c r="S108" i="1"/>
  <c r="AG107" i="1"/>
  <c r="AN106" i="1"/>
  <c r="AP106" i="1" s="1"/>
  <c r="AH107" i="1"/>
  <c r="AI108" i="1"/>
  <c r="AQ110" i="1"/>
  <c r="AM108" i="1"/>
  <c r="AK108" i="1"/>
  <c r="K108" i="1"/>
  <c r="J108" i="1"/>
  <c r="G108" i="1"/>
  <c r="H108" i="1" s="1"/>
  <c r="L108" i="1"/>
  <c r="M108" i="1"/>
  <c r="AA109" i="1"/>
  <c r="Z109" i="1" s="1"/>
  <c r="N109" i="1" s="1"/>
  <c r="C110" i="1"/>
  <c r="AC110" i="1" s="1"/>
  <c r="D109" i="1"/>
  <c r="E110" i="1"/>
  <c r="AE110" i="1" s="1"/>
  <c r="AD110" i="1" s="1"/>
  <c r="Y109" i="1"/>
  <c r="T108" i="1"/>
  <c r="U107" i="1"/>
  <c r="V107" i="1" s="1"/>
  <c r="W106" i="1"/>
  <c r="P106" i="1" s="1"/>
  <c r="AM109" i="1" l="1"/>
  <c r="T109" i="1"/>
  <c r="AK109" i="1"/>
  <c r="AI109" i="1"/>
  <c r="AQ111" i="1"/>
  <c r="AL108" i="1"/>
  <c r="AG108" i="1"/>
  <c r="AN107" i="1"/>
  <c r="AP107" i="1" s="1"/>
  <c r="AH108" i="1"/>
  <c r="D110" i="1"/>
  <c r="Y110" i="1"/>
  <c r="E111" i="1"/>
  <c r="AE111" i="1" s="1"/>
  <c r="AD111" i="1" s="1"/>
  <c r="AA110" i="1"/>
  <c r="Z110" i="1" s="1"/>
  <c r="N110" i="1" s="1"/>
  <c r="C111" i="1"/>
  <c r="AC111" i="1" s="1"/>
  <c r="L109" i="1"/>
  <c r="J109" i="1"/>
  <c r="K109" i="1"/>
  <c r="G109" i="1"/>
  <c r="H109" i="1" s="1"/>
  <c r="S109" i="1"/>
  <c r="M109" i="1" s="1"/>
  <c r="U108" i="1"/>
  <c r="V108" i="1" s="1"/>
  <c r="W107" i="1"/>
  <c r="P107" i="1" s="1"/>
  <c r="AM110" i="1" l="1"/>
  <c r="AL109" i="1"/>
  <c r="AK110" i="1"/>
  <c r="AI110" i="1"/>
  <c r="AN108" i="1"/>
  <c r="AP108" i="1" s="1"/>
  <c r="AG109" i="1"/>
  <c r="AH109" i="1"/>
  <c r="AQ112" i="1"/>
  <c r="J110" i="1"/>
  <c r="K110" i="1"/>
  <c r="G110" i="1"/>
  <c r="H110" i="1" s="1"/>
  <c r="T110" i="1"/>
  <c r="S110" i="1"/>
  <c r="L110" i="1"/>
  <c r="M110" i="1"/>
  <c r="AA111" i="1"/>
  <c r="Z111" i="1" s="1"/>
  <c r="AM111" i="1" s="1"/>
  <c r="C112" i="1"/>
  <c r="AC112" i="1" s="1"/>
  <c r="Y111" i="1"/>
  <c r="D111" i="1"/>
  <c r="E112" i="1"/>
  <c r="AE112" i="1" s="1"/>
  <c r="AD112" i="1" s="1"/>
  <c r="U109" i="1"/>
  <c r="V109" i="1" s="1"/>
  <c r="W108" i="1"/>
  <c r="P108" i="1" s="1"/>
  <c r="AQ113" i="1" l="1"/>
  <c r="AK111" i="1"/>
  <c r="AG110" i="1"/>
  <c r="AH110" i="1"/>
  <c r="AN109" i="1"/>
  <c r="AP109" i="1" s="1"/>
  <c r="L111" i="1"/>
  <c r="N111" i="1"/>
  <c r="AI111" i="1"/>
  <c r="AL110" i="1"/>
  <c r="AA112" i="1"/>
  <c r="Z112" i="1" s="1"/>
  <c r="N112" i="1" s="1"/>
  <c r="C113" i="1"/>
  <c r="AC113" i="1" s="1"/>
  <c r="G111" i="1"/>
  <c r="H111" i="1" s="1"/>
  <c r="K111" i="1"/>
  <c r="J111" i="1"/>
  <c r="M111" i="1"/>
  <c r="T111" i="1"/>
  <c r="S111" i="1"/>
  <c r="E113" i="1"/>
  <c r="AE113" i="1" s="1"/>
  <c r="AD113" i="1" s="1"/>
  <c r="D112" i="1"/>
  <c r="Y112" i="1"/>
  <c r="U110" i="1"/>
  <c r="V110" i="1" s="1"/>
  <c r="W109" i="1"/>
  <c r="P109" i="1" s="1"/>
  <c r="AL111" i="1" l="1"/>
  <c r="AQ114" i="1"/>
  <c r="AK112" i="1"/>
  <c r="AH111" i="1"/>
  <c r="AG111" i="1"/>
  <c r="AN110" i="1"/>
  <c r="AP110" i="1" s="1"/>
  <c r="AM112" i="1"/>
  <c r="AI112" i="1"/>
  <c r="Y113" i="1"/>
  <c r="D113" i="1"/>
  <c r="E114" i="1"/>
  <c r="AE114" i="1" s="1"/>
  <c r="AD114" i="1" s="1"/>
  <c r="J112" i="1"/>
  <c r="G112" i="1"/>
  <c r="H112" i="1" s="1"/>
  <c r="K112" i="1"/>
  <c r="C114" i="1"/>
  <c r="AC114" i="1" s="1"/>
  <c r="AA113" i="1"/>
  <c r="Z113" i="1" s="1"/>
  <c r="T112" i="1"/>
  <c r="U111" i="1"/>
  <c r="V111" i="1" s="1"/>
  <c r="W110" i="1"/>
  <c r="P110" i="1" s="1"/>
  <c r="AL112" i="1" l="1"/>
  <c r="L113" i="1"/>
  <c r="N113" i="1"/>
  <c r="AK113" i="1"/>
  <c r="AI113" i="1"/>
  <c r="AH112" i="1"/>
  <c r="AG112" i="1"/>
  <c r="AN111" i="1"/>
  <c r="AP111" i="1" s="1"/>
  <c r="AM113" i="1"/>
  <c r="AQ115" i="1"/>
  <c r="S112" i="1"/>
  <c r="L112" i="1"/>
  <c r="T113" i="1"/>
  <c r="C115" i="1"/>
  <c r="AC115" i="1" s="1"/>
  <c r="AA114" i="1"/>
  <c r="Z114" i="1" s="1"/>
  <c r="N114" i="1" s="1"/>
  <c r="K113" i="1"/>
  <c r="G113" i="1"/>
  <c r="H113" i="1" s="1"/>
  <c r="J113" i="1"/>
  <c r="D114" i="1"/>
  <c r="Y114" i="1"/>
  <c r="E115" i="1"/>
  <c r="AE115" i="1" s="1"/>
  <c r="AD115" i="1" s="1"/>
  <c r="M113" i="1"/>
  <c r="W111" i="1"/>
  <c r="P111" i="1" s="1"/>
  <c r="U112" i="1"/>
  <c r="V112" i="1" s="1"/>
  <c r="AQ116" i="1" l="1"/>
  <c r="AH113" i="1"/>
  <c r="AN112" i="1"/>
  <c r="AP112" i="1" s="1"/>
  <c r="AG113" i="1"/>
  <c r="AI114" i="1"/>
  <c r="AK114" i="1"/>
  <c r="AM114" i="1"/>
  <c r="AL113" i="1"/>
  <c r="AL114" i="1" s="1"/>
  <c r="G114" i="1"/>
  <c r="H114" i="1" s="1"/>
  <c r="M114" i="1"/>
  <c r="K114" i="1"/>
  <c r="J114" i="1"/>
  <c r="L114" i="1"/>
  <c r="E116" i="1"/>
  <c r="AE116" i="1" s="1"/>
  <c r="AD116" i="1" s="1"/>
  <c r="Y115" i="1"/>
  <c r="D115" i="1"/>
  <c r="AA115" i="1"/>
  <c r="Z115" i="1" s="1"/>
  <c r="AM115" i="1" s="1"/>
  <c r="C116" i="1"/>
  <c r="AC116" i="1" s="1"/>
  <c r="M112" i="1"/>
  <c r="S113" i="1"/>
  <c r="S114" i="1" s="1"/>
  <c r="T114" i="1"/>
  <c r="U113" i="1"/>
  <c r="V113" i="1" s="1"/>
  <c r="W112" i="1"/>
  <c r="S115" i="1" l="1"/>
  <c r="M115" i="1" s="1"/>
  <c r="L115" i="1"/>
  <c r="N115" i="1"/>
  <c r="AG114" i="1"/>
  <c r="AN113" i="1"/>
  <c r="AP113" i="1" s="1"/>
  <c r="AH114" i="1"/>
  <c r="AK115" i="1"/>
  <c r="AI115" i="1"/>
  <c r="AQ117" i="1"/>
  <c r="AA116" i="1"/>
  <c r="Z116" i="1" s="1"/>
  <c r="N116" i="1" s="1"/>
  <c r="C117" i="1"/>
  <c r="AC117" i="1" s="1"/>
  <c r="E117" i="1"/>
  <c r="AE117" i="1" s="1"/>
  <c r="AD117" i="1" s="1"/>
  <c r="D116" i="1"/>
  <c r="Y116" i="1"/>
  <c r="K115" i="1"/>
  <c r="J115" i="1"/>
  <c r="G115" i="1"/>
  <c r="H115" i="1" s="1"/>
  <c r="P112" i="1"/>
  <c r="T115" i="1"/>
  <c r="W113" i="1"/>
  <c r="P113" i="1" s="1"/>
  <c r="U114" i="1"/>
  <c r="V114" i="1" s="1"/>
  <c r="AL115" i="1" l="1"/>
  <c r="AG115" i="1"/>
  <c r="AN114" i="1"/>
  <c r="AP114" i="1" s="1"/>
  <c r="AH115" i="1"/>
  <c r="AQ118" i="1"/>
  <c r="AK116" i="1"/>
  <c r="AM116" i="1"/>
  <c r="AI116" i="1"/>
  <c r="G116" i="1"/>
  <c r="H116" i="1" s="1"/>
  <c r="J116" i="1"/>
  <c r="K116" i="1"/>
  <c r="L116" i="1"/>
  <c r="S116" i="1"/>
  <c r="M116" i="1"/>
  <c r="T116" i="1"/>
  <c r="Y117" i="1"/>
  <c r="E118" i="1"/>
  <c r="AE118" i="1" s="1"/>
  <c r="AD118" i="1" s="1"/>
  <c r="D117" i="1"/>
  <c r="AA117" i="1"/>
  <c r="Z117" i="1" s="1"/>
  <c r="N117" i="1" s="1"/>
  <c r="C118" i="1"/>
  <c r="AC118" i="1" s="1"/>
  <c r="U115" i="1"/>
  <c r="V115" i="1" s="1"/>
  <c r="W114" i="1"/>
  <c r="P114" i="1" s="1"/>
  <c r="AM117" i="1" l="1"/>
  <c r="AI117" i="1"/>
  <c r="AQ119" i="1"/>
  <c r="AN115" i="1"/>
  <c r="AP115" i="1" s="1"/>
  <c r="AH116" i="1"/>
  <c r="AG116" i="1"/>
  <c r="AK117" i="1"/>
  <c r="AL116" i="1"/>
  <c r="K117" i="1"/>
  <c r="L117" i="1"/>
  <c r="G117" i="1"/>
  <c r="H117" i="1" s="1"/>
  <c r="M117" i="1"/>
  <c r="J117" i="1"/>
  <c r="T117" i="1"/>
  <c r="AA118" i="1"/>
  <c r="Z118" i="1" s="1"/>
  <c r="N118" i="1" s="1"/>
  <c r="C119" i="1"/>
  <c r="AC119" i="1" s="1"/>
  <c r="E119" i="1"/>
  <c r="AE119" i="1" s="1"/>
  <c r="AD119" i="1" s="1"/>
  <c r="D118" i="1"/>
  <c r="Y118" i="1"/>
  <c r="S117" i="1"/>
  <c r="U116" i="1"/>
  <c r="V116" i="1" s="1"/>
  <c r="W115" i="1"/>
  <c r="P115" i="1" s="1"/>
  <c r="AL117" i="1" l="1"/>
  <c r="S118" i="1"/>
  <c r="M118" i="1" s="1"/>
  <c r="AQ120" i="1"/>
  <c r="AN116" i="1"/>
  <c r="AP116" i="1" s="1"/>
  <c r="AH117" i="1"/>
  <c r="AG117" i="1"/>
  <c r="AI118" i="1"/>
  <c r="AK118" i="1"/>
  <c r="AM118" i="1"/>
  <c r="AA119" i="1"/>
  <c r="Z119" i="1" s="1"/>
  <c r="N119" i="1" s="1"/>
  <c r="C120" i="1"/>
  <c r="AC120" i="1" s="1"/>
  <c r="Y119" i="1"/>
  <c r="D119" i="1"/>
  <c r="E120" i="1"/>
  <c r="AE120" i="1" s="1"/>
  <c r="AD120" i="1" s="1"/>
  <c r="T118" i="1"/>
  <c r="L118" i="1"/>
  <c r="G118" i="1"/>
  <c r="H118" i="1" s="1"/>
  <c r="J118" i="1"/>
  <c r="K118" i="1"/>
  <c r="U117" i="1"/>
  <c r="V117" i="1" s="1"/>
  <c r="W116" i="1"/>
  <c r="P116" i="1" s="1"/>
  <c r="S119" i="1" l="1"/>
  <c r="AM119" i="1"/>
  <c r="L119" i="1"/>
  <c r="AL118" i="1"/>
  <c r="AI119" i="1"/>
  <c r="T119" i="1"/>
  <c r="AK119" i="1"/>
  <c r="AG118" i="1"/>
  <c r="AN117" i="1"/>
  <c r="AP117" i="1" s="1"/>
  <c r="AH118" i="1"/>
  <c r="M119" i="1"/>
  <c r="AI120" i="1"/>
  <c r="AK120" i="1"/>
  <c r="AM120" i="1"/>
  <c r="AQ121" i="1"/>
  <c r="C121" i="1"/>
  <c r="AC121" i="1" s="1"/>
  <c r="AA120" i="1"/>
  <c r="Z120" i="1" s="1"/>
  <c r="N120" i="1" s="1"/>
  <c r="K119" i="1"/>
  <c r="G119" i="1"/>
  <c r="H119" i="1" s="1"/>
  <c r="J119" i="1"/>
  <c r="E121" i="1"/>
  <c r="AE121" i="1" s="1"/>
  <c r="AD121" i="1" s="1"/>
  <c r="Y120" i="1"/>
  <c r="D120" i="1"/>
  <c r="U118" i="1"/>
  <c r="V118" i="1" s="1"/>
  <c r="W117" i="1"/>
  <c r="P117" i="1" s="1"/>
  <c r="AQ122" i="1" l="1"/>
  <c r="AH119" i="1"/>
  <c r="AN118" i="1"/>
  <c r="AP118" i="1" s="1"/>
  <c r="AG119" i="1"/>
  <c r="AL119" i="1"/>
  <c r="AL120" i="1" s="1"/>
  <c r="K120" i="1"/>
  <c r="J120" i="1"/>
  <c r="G120" i="1"/>
  <c r="H120" i="1" s="1"/>
  <c r="S120" i="1"/>
  <c r="L120" i="1"/>
  <c r="M120" i="1"/>
  <c r="T120" i="1"/>
  <c r="E122" i="1"/>
  <c r="AE122" i="1" s="1"/>
  <c r="AD122" i="1" s="1"/>
  <c r="Y121" i="1"/>
  <c r="D121" i="1"/>
  <c r="C122" i="1"/>
  <c r="AC122" i="1" s="1"/>
  <c r="AA121" i="1"/>
  <c r="Z121" i="1" s="1"/>
  <c r="N121" i="1" s="1"/>
  <c r="U119" i="1"/>
  <c r="V119" i="1" s="1"/>
  <c r="W118" i="1"/>
  <c r="P118" i="1" s="1"/>
  <c r="AG120" i="1" l="1"/>
  <c r="AH120" i="1"/>
  <c r="AN119" i="1"/>
  <c r="AP119" i="1" s="1"/>
  <c r="AM121" i="1"/>
  <c r="AK121" i="1"/>
  <c r="AI121" i="1"/>
  <c r="AQ123" i="1"/>
  <c r="Y122" i="1"/>
  <c r="D122" i="1"/>
  <c r="E123" i="1"/>
  <c r="AE123" i="1" s="1"/>
  <c r="AD123" i="1" s="1"/>
  <c r="S121" i="1"/>
  <c r="M121" i="1" s="1"/>
  <c r="T121" i="1"/>
  <c r="L121" i="1"/>
  <c r="G121" i="1"/>
  <c r="H121" i="1" s="1"/>
  <c r="K121" i="1"/>
  <c r="J121" i="1"/>
  <c r="C123" i="1"/>
  <c r="AC123" i="1" s="1"/>
  <c r="AA122" i="1"/>
  <c r="Z122" i="1" s="1"/>
  <c r="N122" i="1" s="1"/>
  <c r="U120" i="1"/>
  <c r="V120" i="1" s="1"/>
  <c r="W119" i="1"/>
  <c r="P119" i="1" s="1"/>
  <c r="Q5" i="1" s="1"/>
  <c r="AM122" i="1" l="1"/>
  <c r="AQ124" i="1"/>
  <c r="AK122" i="1"/>
  <c r="AL121" i="1"/>
  <c r="AI122" i="1"/>
  <c r="AN120" i="1"/>
  <c r="AP120" i="1" s="1"/>
  <c r="AG121" i="1"/>
  <c r="AH121" i="1"/>
  <c r="J122" i="1"/>
  <c r="K122" i="1"/>
  <c r="G122" i="1"/>
  <c r="H122" i="1" s="1"/>
  <c r="M122" i="1"/>
  <c r="L122" i="1"/>
  <c r="S122" i="1"/>
  <c r="E124" i="1"/>
  <c r="AE124" i="1" s="1"/>
  <c r="AD124" i="1" s="1"/>
  <c r="Y123" i="1"/>
  <c r="D123" i="1"/>
  <c r="T122" i="1"/>
  <c r="C124" i="1"/>
  <c r="AC124" i="1" s="1"/>
  <c r="AA123" i="1"/>
  <c r="Z123" i="1" s="1"/>
  <c r="N123" i="1" s="1"/>
  <c r="U121" i="1"/>
  <c r="V121" i="1" s="1"/>
  <c r="W120" i="1"/>
  <c r="P120" i="1" s="1"/>
  <c r="AH122" i="1" l="1"/>
  <c r="AG122" i="1"/>
  <c r="AN121" i="1"/>
  <c r="AP121" i="1" s="1"/>
  <c r="AQ125" i="1"/>
  <c r="AK123" i="1"/>
  <c r="AI123" i="1"/>
  <c r="AL122" i="1"/>
  <c r="AM123" i="1"/>
  <c r="J123" i="1"/>
  <c r="G123" i="1"/>
  <c r="H123" i="1" s="1"/>
  <c r="K123" i="1"/>
  <c r="L123" i="1"/>
  <c r="M123" i="1"/>
  <c r="S123" i="1"/>
  <c r="C125" i="1"/>
  <c r="AC125" i="1" s="1"/>
  <c r="AA124" i="1"/>
  <c r="Z124" i="1" s="1"/>
  <c r="N124" i="1" s="1"/>
  <c r="T123" i="1"/>
  <c r="Y124" i="1"/>
  <c r="D124" i="1"/>
  <c r="E125" i="1"/>
  <c r="AE125" i="1" s="1"/>
  <c r="AD125" i="1" s="1"/>
  <c r="W121" i="1"/>
  <c r="P121" i="1" s="1"/>
  <c r="U122" i="1"/>
  <c r="V122" i="1" s="1"/>
  <c r="AL123" i="1" l="1"/>
  <c r="AI124" i="1"/>
  <c r="AQ126" i="1"/>
  <c r="AG123" i="1"/>
  <c r="AN122" i="1"/>
  <c r="AP122" i="1" s="1"/>
  <c r="AH123" i="1"/>
  <c r="AM124" i="1"/>
  <c r="AK124" i="1"/>
  <c r="K124" i="1"/>
  <c r="G124" i="1"/>
  <c r="H124" i="1" s="1"/>
  <c r="J124" i="1"/>
  <c r="Y125" i="1"/>
  <c r="D125" i="1"/>
  <c r="E126" i="1"/>
  <c r="AE126" i="1" s="1"/>
  <c r="AD126" i="1" s="1"/>
  <c r="T124" i="1"/>
  <c r="C126" i="1"/>
  <c r="AC126" i="1" s="1"/>
  <c r="AA125" i="1"/>
  <c r="Z125" i="1" s="1"/>
  <c r="U123" i="1"/>
  <c r="V123" i="1" s="1"/>
  <c r="W122" i="1"/>
  <c r="P122" i="1" s="1"/>
  <c r="AL124" i="1" l="1"/>
  <c r="L125" i="1"/>
  <c r="N125" i="1"/>
  <c r="AQ127" i="1"/>
  <c r="AG124" i="1"/>
  <c r="AH124" i="1"/>
  <c r="AN123" i="1"/>
  <c r="AP123" i="1" s="1"/>
  <c r="AI125" i="1"/>
  <c r="AK125" i="1"/>
  <c r="AM125" i="1"/>
  <c r="M125" i="1"/>
  <c r="Y126" i="1"/>
  <c r="D126" i="1"/>
  <c r="E127" i="1"/>
  <c r="AE127" i="1" s="1"/>
  <c r="AD127" i="1" s="1"/>
  <c r="S124" i="1"/>
  <c r="L124" i="1"/>
  <c r="T125" i="1"/>
  <c r="G125" i="1"/>
  <c r="H125" i="1" s="1"/>
  <c r="J125" i="1"/>
  <c r="K125" i="1"/>
  <c r="AA126" i="1"/>
  <c r="Z126" i="1" s="1"/>
  <c r="N126" i="1" s="1"/>
  <c r="C127" i="1"/>
  <c r="AC127" i="1" s="1"/>
  <c r="U124" i="1"/>
  <c r="V124" i="1" s="1"/>
  <c r="W123" i="1"/>
  <c r="P123" i="1" s="1"/>
  <c r="AI126" i="1" l="1"/>
  <c r="AM126" i="1"/>
  <c r="AG125" i="1"/>
  <c r="AN124" i="1"/>
  <c r="AP124" i="1" s="1"/>
  <c r="AH125" i="1"/>
  <c r="AK126" i="1"/>
  <c r="AQ128" i="1"/>
  <c r="AL125" i="1"/>
  <c r="G126" i="1"/>
  <c r="H126" i="1" s="1"/>
  <c r="J126" i="1"/>
  <c r="K126" i="1"/>
  <c r="L126" i="1"/>
  <c r="M126" i="1"/>
  <c r="C128" i="1"/>
  <c r="AC128" i="1" s="1"/>
  <c r="AA127" i="1"/>
  <c r="Z127" i="1" s="1"/>
  <c r="AM127" i="1" s="1"/>
  <c r="Y127" i="1"/>
  <c r="D127" i="1"/>
  <c r="E128" i="1"/>
  <c r="AE128" i="1" s="1"/>
  <c r="AD128" i="1" s="1"/>
  <c r="T126" i="1"/>
  <c r="S125" i="1"/>
  <c r="S126" i="1" s="1"/>
  <c r="M124" i="1"/>
  <c r="U125" i="1"/>
  <c r="V125" i="1" s="1"/>
  <c r="W124" i="1"/>
  <c r="S127" i="1" l="1"/>
  <c r="AL126" i="1"/>
  <c r="T127" i="1"/>
  <c r="AQ129" i="1"/>
  <c r="L127" i="1"/>
  <c r="N127" i="1"/>
  <c r="AH126" i="1"/>
  <c r="AN125" i="1"/>
  <c r="AP125" i="1" s="1"/>
  <c r="AG126" i="1"/>
  <c r="AI127" i="1"/>
  <c r="AK127" i="1"/>
  <c r="P124" i="1"/>
  <c r="M127" i="1"/>
  <c r="Y128" i="1"/>
  <c r="E129" i="1"/>
  <c r="AE129" i="1" s="1"/>
  <c r="AD129" i="1" s="1"/>
  <c r="D128" i="1"/>
  <c r="G127" i="1"/>
  <c r="H127" i="1" s="1"/>
  <c r="K127" i="1"/>
  <c r="J127" i="1"/>
  <c r="AA128" i="1"/>
  <c r="Z128" i="1" s="1"/>
  <c r="N128" i="1" s="1"/>
  <c r="C129" i="1"/>
  <c r="AC129" i="1" s="1"/>
  <c r="U126" i="1"/>
  <c r="V126" i="1" s="1"/>
  <c r="W125" i="1"/>
  <c r="P125" i="1" s="1"/>
  <c r="AN126" i="1" l="1"/>
  <c r="AP126" i="1" s="1"/>
  <c r="AH127" i="1"/>
  <c r="AG127" i="1"/>
  <c r="AL127" i="1"/>
  <c r="AM128" i="1"/>
  <c r="AI128" i="1"/>
  <c r="AK128" i="1"/>
  <c r="AQ130" i="1"/>
  <c r="S128" i="1"/>
  <c r="L128" i="1"/>
  <c r="M128" i="1"/>
  <c r="C130" i="1"/>
  <c r="AC130" i="1" s="1"/>
  <c r="AA129" i="1"/>
  <c r="Z129" i="1" s="1"/>
  <c r="AK129" i="1" s="1"/>
  <c r="K128" i="1"/>
  <c r="J128" i="1"/>
  <c r="G128" i="1"/>
  <c r="H128" i="1" s="1"/>
  <c r="D129" i="1"/>
  <c r="Y129" i="1"/>
  <c r="E130" i="1"/>
  <c r="AE130" i="1" s="1"/>
  <c r="AD130" i="1" s="1"/>
  <c r="T128" i="1"/>
  <c r="U127" i="1"/>
  <c r="V127" i="1" s="1"/>
  <c r="W126" i="1"/>
  <c r="P126" i="1" s="1"/>
  <c r="T129" i="1" l="1"/>
  <c r="AL128" i="1"/>
  <c r="AH128" i="1"/>
  <c r="AN127" i="1"/>
  <c r="AP127" i="1" s="1"/>
  <c r="AG128" i="1"/>
  <c r="AQ131" i="1"/>
  <c r="L129" i="1"/>
  <c r="N129" i="1"/>
  <c r="AM129" i="1"/>
  <c r="AI129" i="1"/>
  <c r="D130" i="1"/>
  <c r="Y130" i="1"/>
  <c r="E131" i="1"/>
  <c r="AE131" i="1" s="1"/>
  <c r="AD131" i="1" s="1"/>
  <c r="J129" i="1"/>
  <c r="G129" i="1"/>
  <c r="H129" i="1" s="1"/>
  <c r="K129" i="1"/>
  <c r="C131" i="1"/>
  <c r="AC131" i="1" s="1"/>
  <c r="AA130" i="1"/>
  <c r="Z130" i="1" s="1"/>
  <c r="N130" i="1" s="1"/>
  <c r="M129" i="1"/>
  <c r="S129" i="1"/>
  <c r="W127" i="1"/>
  <c r="P127" i="1" s="1"/>
  <c r="U128" i="1"/>
  <c r="V128" i="1" s="1"/>
  <c r="AM130" i="1" l="1"/>
  <c r="AQ132" i="1"/>
  <c r="AK130" i="1"/>
  <c r="AH129" i="1"/>
  <c r="AN128" i="1"/>
  <c r="AP128" i="1" s="1"/>
  <c r="AG129" i="1"/>
  <c r="AI130" i="1"/>
  <c r="AL129" i="1"/>
  <c r="G130" i="1"/>
  <c r="H130" i="1" s="1"/>
  <c r="L130" i="1"/>
  <c r="K130" i="1"/>
  <c r="J130" i="1"/>
  <c r="T130" i="1"/>
  <c r="S130" i="1"/>
  <c r="M130" i="1" s="1"/>
  <c r="AA131" i="1"/>
  <c r="Z131" i="1" s="1"/>
  <c r="N131" i="1" s="1"/>
  <c r="C132" i="1"/>
  <c r="AC132" i="1" s="1"/>
  <c r="E132" i="1"/>
  <c r="AE132" i="1" s="1"/>
  <c r="AD132" i="1" s="1"/>
  <c r="Y131" i="1"/>
  <c r="D131" i="1"/>
  <c r="U129" i="1"/>
  <c r="V129" i="1" s="1"/>
  <c r="W128" i="1"/>
  <c r="P128" i="1" s="1"/>
  <c r="AL130" i="1" l="1"/>
  <c r="AQ133" i="1"/>
  <c r="AM131" i="1"/>
  <c r="AI131" i="1"/>
  <c r="AG130" i="1"/>
  <c r="AN129" i="1"/>
  <c r="AP129" i="1" s="1"/>
  <c r="AH130" i="1"/>
  <c r="AK131" i="1"/>
  <c r="Y132" i="1"/>
  <c r="E133" i="1"/>
  <c r="AE133" i="1" s="1"/>
  <c r="AD133" i="1" s="1"/>
  <c r="D132" i="1"/>
  <c r="M131" i="1"/>
  <c r="J131" i="1"/>
  <c r="K131" i="1"/>
  <c r="G131" i="1"/>
  <c r="H131" i="1" s="1"/>
  <c r="S131" i="1"/>
  <c r="C133" i="1"/>
  <c r="AC133" i="1" s="1"/>
  <c r="AA132" i="1"/>
  <c r="Z132" i="1" s="1"/>
  <c r="N132" i="1" s="1"/>
  <c r="T131" i="1"/>
  <c r="L131" i="1"/>
  <c r="U130" i="1"/>
  <c r="V130" i="1" s="1"/>
  <c r="W129" i="1"/>
  <c r="P129" i="1" s="1"/>
  <c r="AM132" i="1" l="1"/>
  <c r="AL131" i="1"/>
  <c r="AK132" i="1"/>
  <c r="AN130" i="1"/>
  <c r="AP130" i="1" s="1"/>
  <c r="AG131" i="1"/>
  <c r="AH131" i="1"/>
  <c r="AI132" i="1"/>
  <c r="AQ134" i="1"/>
  <c r="J132" i="1"/>
  <c r="G132" i="1"/>
  <c r="H132" i="1" s="1"/>
  <c r="K132" i="1"/>
  <c r="L132" i="1"/>
  <c r="M132" i="1"/>
  <c r="S132" i="1"/>
  <c r="T132" i="1"/>
  <c r="AA133" i="1"/>
  <c r="Z133" i="1" s="1"/>
  <c r="C134" i="1"/>
  <c r="AC134" i="1" s="1"/>
  <c r="Y133" i="1"/>
  <c r="E134" i="1"/>
  <c r="AE134" i="1" s="1"/>
  <c r="AD134" i="1" s="1"/>
  <c r="D133" i="1"/>
  <c r="U131" i="1"/>
  <c r="V131" i="1" s="1"/>
  <c r="W130" i="1"/>
  <c r="P130" i="1" s="1"/>
  <c r="L133" i="1" l="1"/>
  <c r="N133" i="1"/>
  <c r="AQ135" i="1"/>
  <c r="AK133" i="1"/>
  <c r="AN131" i="1"/>
  <c r="AP131" i="1" s="1"/>
  <c r="AH132" i="1"/>
  <c r="AG132" i="1"/>
  <c r="AL132" i="1"/>
  <c r="AM133" i="1"/>
  <c r="AI133" i="1"/>
  <c r="C135" i="1"/>
  <c r="AC135" i="1" s="1"/>
  <c r="AA134" i="1"/>
  <c r="Z134" i="1" s="1"/>
  <c r="N134" i="1" s="1"/>
  <c r="T133" i="1"/>
  <c r="D134" i="1"/>
  <c r="E135" i="1"/>
  <c r="AE135" i="1" s="1"/>
  <c r="AD135" i="1" s="1"/>
  <c r="Y134" i="1"/>
  <c r="S133" i="1"/>
  <c r="M133" i="1" s="1"/>
  <c r="K133" i="1"/>
  <c r="J133" i="1"/>
  <c r="G133" i="1"/>
  <c r="H133" i="1" s="1"/>
  <c r="U132" i="1"/>
  <c r="V132" i="1" s="1"/>
  <c r="W131" i="1"/>
  <c r="P131" i="1" s="1"/>
  <c r="AL133" i="1" l="1"/>
  <c r="AN132" i="1"/>
  <c r="AP132" i="1" s="1"/>
  <c r="AH133" i="1"/>
  <c r="AG133" i="1"/>
  <c r="AK134" i="1"/>
  <c r="AI134" i="1"/>
  <c r="AM134" i="1"/>
  <c r="AQ136" i="1"/>
  <c r="J134" i="1"/>
  <c r="K134" i="1"/>
  <c r="G134" i="1"/>
  <c r="H134" i="1" s="1"/>
  <c r="L134" i="1"/>
  <c r="S134" i="1"/>
  <c r="M134" i="1"/>
  <c r="D135" i="1"/>
  <c r="Y135" i="1"/>
  <c r="E136" i="1"/>
  <c r="AE136" i="1" s="1"/>
  <c r="AD136" i="1" s="1"/>
  <c r="T134" i="1"/>
  <c r="C136" i="1"/>
  <c r="AC136" i="1" s="1"/>
  <c r="AA135" i="1"/>
  <c r="Z135" i="1" s="1"/>
  <c r="U133" i="1"/>
  <c r="V133" i="1" s="1"/>
  <c r="W132" i="1"/>
  <c r="P132" i="1" s="1"/>
  <c r="AL134" i="1" l="1"/>
  <c r="AQ137" i="1"/>
  <c r="AI135" i="1"/>
  <c r="AK135" i="1"/>
  <c r="AM135" i="1"/>
  <c r="M135" i="1"/>
  <c r="N135" i="1"/>
  <c r="AN133" i="1"/>
  <c r="AP133" i="1" s="1"/>
  <c r="AH134" i="1"/>
  <c r="AG134" i="1"/>
  <c r="S135" i="1"/>
  <c r="E137" i="1"/>
  <c r="AE137" i="1" s="1"/>
  <c r="AD137" i="1" s="1"/>
  <c r="D136" i="1"/>
  <c r="Y136" i="1"/>
  <c r="C137" i="1"/>
  <c r="AC137" i="1" s="1"/>
  <c r="AA136" i="1"/>
  <c r="Z136" i="1" s="1"/>
  <c r="N136" i="1" s="1"/>
  <c r="L135" i="1"/>
  <c r="K135" i="1"/>
  <c r="G135" i="1"/>
  <c r="H135" i="1" s="1"/>
  <c r="J135" i="1"/>
  <c r="T135" i="1"/>
  <c r="U134" i="1"/>
  <c r="V134" i="1" s="1"/>
  <c r="W133" i="1"/>
  <c r="P133" i="1" s="1"/>
  <c r="T136" i="1" l="1"/>
  <c r="L136" i="1" s="1"/>
  <c r="AK136" i="1"/>
  <c r="AG135" i="1"/>
  <c r="AH135" i="1"/>
  <c r="AN134" i="1"/>
  <c r="AP134" i="1" s="1"/>
  <c r="AQ138" i="1"/>
  <c r="AM136" i="1"/>
  <c r="AI136" i="1"/>
  <c r="AL135" i="1"/>
  <c r="K136" i="1"/>
  <c r="G136" i="1"/>
  <c r="H136" i="1" s="1"/>
  <c r="J136" i="1"/>
  <c r="C138" i="1"/>
  <c r="AC138" i="1" s="1"/>
  <c r="AA137" i="1"/>
  <c r="Z137" i="1" s="1"/>
  <c r="N137" i="1" s="1"/>
  <c r="S136" i="1"/>
  <c r="E138" i="1"/>
  <c r="AE138" i="1" s="1"/>
  <c r="AD138" i="1" s="1"/>
  <c r="Y137" i="1"/>
  <c r="D137" i="1"/>
  <c r="U135" i="1"/>
  <c r="V135" i="1" s="1"/>
  <c r="W134" i="1"/>
  <c r="P134" i="1" s="1"/>
  <c r="AQ139" i="1" l="1"/>
  <c r="AG136" i="1"/>
  <c r="AN135" i="1"/>
  <c r="AP135" i="1" s="1"/>
  <c r="AH136" i="1"/>
  <c r="AK137" i="1"/>
  <c r="AM137" i="1"/>
  <c r="AI137" i="1"/>
  <c r="K137" i="1"/>
  <c r="L137" i="1"/>
  <c r="H137" i="1"/>
  <c r="J137" i="1"/>
  <c r="G137" i="1"/>
  <c r="M137" i="1"/>
  <c r="T137" i="1"/>
  <c r="M136" i="1"/>
  <c r="S137" i="1"/>
  <c r="D138" i="1"/>
  <c r="Y138" i="1"/>
  <c r="E139" i="1"/>
  <c r="AE139" i="1" s="1"/>
  <c r="AD139" i="1" s="1"/>
  <c r="C139" i="1"/>
  <c r="AC139" i="1" s="1"/>
  <c r="AA138" i="1"/>
  <c r="Z138" i="1" s="1"/>
  <c r="N138" i="1" s="1"/>
  <c r="U136" i="1"/>
  <c r="V136" i="1" s="1"/>
  <c r="W135" i="1"/>
  <c r="P135" i="1" s="1"/>
  <c r="AL136" i="1" l="1"/>
  <c r="AG137" i="1"/>
  <c r="AH137" i="1"/>
  <c r="AN136" i="1"/>
  <c r="AK138" i="1"/>
  <c r="AI138" i="1"/>
  <c r="AQ140" i="1"/>
  <c r="AM138" i="1"/>
  <c r="C140" i="1"/>
  <c r="AC140" i="1" s="1"/>
  <c r="AA139" i="1"/>
  <c r="Z139" i="1" s="1"/>
  <c r="N139" i="1" s="1"/>
  <c r="L138" i="1"/>
  <c r="K138" i="1"/>
  <c r="J138" i="1"/>
  <c r="G138" i="1"/>
  <c r="H138" i="1"/>
  <c r="S138" i="1"/>
  <c r="D139" i="1"/>
  <c r="E140" i="1"/>
  <c r="AE140" i="1" s="1"/>
  <c r="AD140" i="1" s="1"/>
  <c r="Y139" i="1"/>
  <c r="T138" i="1"/>
  <c r="M138" i="1"/>
  <c r="U137" i="1"/>
  <c r="V137" i="1" s="1"/>
  <c r="W136" i="1"/>
  <c r="P136" i="1" s="1"/>
  <c r="AP136" i="1" l="1"/>
  <c r="AI139" i="1"/>
  <c r="AM139" i="1"/>
  <c r="AQ141" i="1"/>
  <c r="AN137" i="1"/>
  <c r="AH138" i="1"/>
  <c r="AG138" i="1"/>
  <c r="AK139" i="1"/>
  <c r="AL137" i="1"/>
  <c r="AL138" i="1" s="1"/>
  <c r="J139" i="1"/>
  <c r="H139" i="1"/>
  <c r="G139" i="1"/>
  <c r="K139" i="1"/>
  <c r="S139" i="1"/>
  <c r="M139" i="1" s="1"/>
  <c r="L139" i="1"/>
  <c r="T139" i="1"/>
  <c r="D140" i="1"/>
  <c r="Y140" i="1"/>
  <c r="E141" i="1"/>
  <c r="AE141" i="1" s="1"/>
  <c r="AD141" i="1" s="1"/>
  <c r="AA140" i="1"/>
  <c r="Z140" i="1" s="1"/>
  <c r="AK140" i="1" s="1"/>
  <c r="C141" i="1"/>
  <c r="AC141" i="1" s="1"/>
  <c r="U138" i="1"/>
  <c r="V138" i="1" s="1"/>
  <c r="W137" i="1"/>
  <c r="P137" i="1" s="1"/>
  <c r="AL139" i="1" l="1"/>
  <c r="AG139" i="1"/>
  <c r="AN138" i="1"/>
  <c r="AP138" i="1" s="1"/>
  <c r="AH139" i="1"/>
  <c r="S140" i="1"/>
  <c r="N140" i="1"/>
  <c r="AP137" i="1"/>
  <c r="AM140" i="1"/>
  <c r="AI140" i="1"/>
  <c r="AQ142" i="1"/>
  <c r="M140" i="1"/>
  <c r="C142" i="1"/>
  <c r="AC142" i="1" s="1"/>
  <c r="AA141" i="1"/>
  <c r="Z141" i="1" s="1"/>
  <c r="N141" i="1" s="1"/>
  <c r="Y141" i="1"/>
  <c r="D141" i="1"/>
  <c r="E142" i="1"/>
  <c r="AE142" i="1" s="1"/>
  <c r="AD142" i="1" s="1"/>
  <c r="H140" i="1"/>
  <c r="G140" i="1"/>
  <c r="K140" i="1"/>
  <c r="J140" i="1"/>
  <c r="T140" i="1"/>
  <c r="L140" i="1"/>
  <c r="W138" i="1"/>
  <c r="P138" i="1" s="1"/>
  <c r="U139" i="1"/>
  <c r="V139" i="1" s="1"/>
  <c r="AL140" i="1" l="1"/>
  <c r="AQ143" i="1"/>
  <c r="AN139" i="1"/>
  <c r="AP139" i="1" s="1"/>
  <c r="AH140" i="1"/>
  <c r="AG140" i="1"/>
  <c r="AM141" i="1"/>
  <c r="AI141" i="1"/>
  <c r="AK141" i="1"/>
  <c r="H141" i="1"/>
  <c r="J141" i="1"/>
  <c r="K141" i="1"/>
  <c r="G141" i="1"/>
  <c r="L141" i="1"/>
  <c r="S141" i="1"/>
  <c r="M141" i="1"/>
  <c r="T141" i="1"/>
  <c r="D142" i="1"/>
  <c r="E143" i="1"/>
  <c r="AE143" i="1" s="1"/>
  <c r="AD143" i="1" s="1"/>
  <c r="Y142" i="1"/>
  <c r="C143" i="1"/>
  <c r="AC143" i="1" s="1"/>
  <c r="AA142" i="1"/>
  <c r="Z142" i="1" s="1"/>
  <c r="U140" i="1"/>
  <c r="V140" i="1" s="1"/>
  <c r="W139" i="1"/>
  <c r="P139" i="1" s="1"/>
  <c r="S142" i="1" l="1"/>
  <c r="M142" i="1" s="1"/>
  <c r="N142" i="1"/>
  <c r="AK142" i="1"/>
  <c r="AQ144" i="1"/>
  <c r="AH141" i="1"/>
  <c r="AG141" i="1"/>
  <c r="AN140" i="1"/>
  <c r="AP140" i="1" s="1"/>
  <c r="AM142" i="1"/>
  <c r="AI142" i="1"/>
  <c r="AL141" i="1"/>
  <c r="L142" i="1"/>
  <c r="H142" i="1"/>
  <c r="J142" i="1"/>
  <c r="K142" i="1"/>
  <c r="G142" i="1"/>
  <c r="AA143" i="1"/>
  <c r="Z143" i="1" s="1"/>
  <c r="C144" i="1"/>
  <c r="AC144" i="1" s="1"/>
  <c r="D143" i="1"/>
  <c r="Y143" i="1"/>
  <c r="E144" i="1"/>
  <c r="AE144" i="1" s="1"/>
  <c r="AD144" i="1" s="1"/>
  <c r="T142" i="1"/>
  <c r="U141" i="1"/>
  <c r="V141" i="1" s="1"/>
  <c r="W140" i="1"/>
  <c r="P140" i="1" s="1"/>
  <c r="N143" i="1" l="1"/>
  <c r="S143" i="1"/>
  <c r="AL142" i="1"/>
  <c r="T143" i="1"/>
  <c r="AN141" i="1"/>
  <c r="AP141" i="1" s="1"/>
  <c r="AH142" i="1"/>
  <c r="AG142" i="1"/>
  <c r="AI143" i="1"/>
  <c r="AK143" i="1"/>
  <c r="AM143" i="1"/>
  <c r="AQ145" i="1"/>
  <c r="E145" i="1"/>
  <c r="AE145" i="1" s="1"/>
  <c r="AD145" i="1" s="1"/>
  <c r="Y144" i="1"/>
  <c r="D144" i="1"/>
  <c r="L143" i="1"/>
  <c r="M143" i="1"/>
  <c r="G143" i="1"/>
  <c r="J143" i="1"/>
  <c r="H143" i="1"/>
  <c r="K143" i="1"/>
  <c r="AA144" i="1"/>
  <c r="Z144" i="1" s="1"/>
  <c r="N144" i="1" s="1"/>
  <c r="C145" i="1"/>
  <c r="AC145" i="1" s="1"/>
  <c r="U142" i="1"/>
  <c r="V142" i="1" s="1"/>
  <c r="W141" i="1"/>
  <c r="P141" i="1" s="1"/>
  <c r="AQ146" i="1" l="1"/>
  <c r="AL143" i="1"/>
  <c r="AH143" i="1"/>
  <c r="AG143" i="1"/>
  <c r="AN142" i="1"/>
  <c r="AP142" i="1" s="1"/>
  <c r="AK144" i="1"/>
  <c r="AI144" i="1"/>
  <c r="AM144" i="1"/>
  <c r="AA145" i="1"/>
  <c r="Z145" i="1" s="1"/>
  <c r="N145" i="1" s="1"/>
  <c r="C146" i="1"/>
  <c r="AC146" i="1" s="1"/>
  <c r="G144" i="1"/>
  <c r="J144" i="1"/>
  <c r="K144" i="1"/>
  <c r="H144" i="1"/>
  <c r="D145" i="1"/>
  <c r="Y145" i="1"/>
  <c r="E146" i="1"/>
  <c r="AE146" i="1" s="1"/>
  <c r="AD146" i="1" s="1"/>
  <c r="M144" i="1"/>
  <c r="L144" i="1"/>
  <c r="S144" i="1"/>
  <c r="T144" i="1"/>
  <c r="W142" i="1"/>
  <c r="P142" i="1" s="1"/>
  <c r="U143" i="1"/>
  <c r="V143" i="1" s="1"/>
  <c r="S145" i="1" l="1"/>
  <c r="AL144" i="1"/>
  <c r="AM145" i="1"/>
  <c r="AG144" i="1"/>
  <c r="AN143" i="1"/>
  <c r="AP143" i="1" s="1"/>
  <c r="AH144" i="1"/>
  <c r="AK145" i="1"/>
  <c r="AQ147" i="1"/>
  <c r="AI145" i="1"/>
  <c r="M145" i="1"/>
  <c r="H145" i="1"/>
  <c r="G145" i="1"/>
  <c r="K145" i="1"/>
  <c r="J145" i="1"/>
  <c r="L145" i="1"/>
  <c r="Y146" i="1"/>
  <c r="E147" i="1"/>
  <c r="AE147" i="1" s="1"/>
  <c r="AD147" i="1" s="1"/>
  <c r="D146" i="1"/>
  <c r="C147" i="1"/>
  <c r="AC147" i="1" s="1"/>
  <c r="AA146" i="1"/>
  <c r="Z146" i="1" s="1"/>
  <c r="N146" i="1" s="1"/>
  <c r="T145" i="1"/>
  <c r="U144" i="1"/>
  <c r="V144" i="1" s="1"/>
  <c r="W143" i="1"/>
  <c r="P143" i="1" s="1"/>
  <c r="AQ148" i="1" l="1"/>
  <c r="AI146" i="1"/>
  <c r="AK146" i="1"/>
  <c r="AM146" i="1"/>
  <c r="AL145" i="1"/>
  <c r="AG145" i="1"/>
  <c r="AH145" i="1"/>
  <c r="AN144" i="1"/>
  <c r="AP144" i="1" s="1"/>
  <c r="H146" i="1"/>
  <c r="J146" i="1"/>
  <c r="G146" i="1"/>
  <c r="L146" i="1"/>
  <c r="K146" i="1"/>
  <c r="M146" i="1"/>
  <c r="S146" i="1"/>
  <c r="C148" i="1"/>
  <c r="AC148" i="1" s="1"/>
  <c r="AA147" i="1"/>
  <c r="Z147" i="1" s="1"/>
  <c r="D147" i="1"/>
  <c r="Y147" i="1"/>
  <c r="E148" i="1"/>
  <c r="AE148" i="1" s="1"/>
  <c r="AD148" i="1" s="1"/>
  <c r="T146" i="1"/>
  <c r="U145" i="1"/>
  <c r="V145" i="1" s="1"/>
  <c r="W144" i="1"/>
  <c r="P144" i="1" s="1"/>
  <c r="T147" i="1" l="1"/>
  <c r="AL146" i="1"/>
  <c r="M147" i="1"/>
  <c r="N147" i="1"/>
  <c r="AQ149" i="1"/>
  <c r="AK147" i="1"/>
  <c r="AH146" i="1"/>
  <c r="AG146" i="1"/>
  <c r="AN145" i="1"/>
  <c r="AP145" i="1" s="1"/>
  <c r="AM147" i="1"/>
  <c r="AI147" i="1"/>
  <c r="E149" i="1"/>
  <c r="AE149" i="1" s="1"/>
  <c r="AD149" i="1" s="1"/>
  <c r="D148" i="1"/>
  <c r="Y148" i="1"/>
  <c r="S147" i="1"/>
  <c r="L147" i="1"/>
  <c r="H147" i="1"/>
  <c r="G147" i="1"/>
  <c r="J147" i="1"/>
  <c r="K147" i="1"/>
  <c r="AA148" i="1"/>
  <c r="Z148" i="1" s="1"/>
  <c r="N148" i="1" s="1"/>
  <c r="C149" i="1"/>
  <c r="AC149" i="1" s="1"/>
  <c r="U146" i="1"/>
  <c r="V146" i="1" s="1"/>
  <c r="W145" i="1"/>
  <c r="P145" i="1" s="1"/>
  <c r="AL147" i="1" l="1"/>
  <c r="AI148" i="1"/>
  <c r="AG147" i="1"/>
  <c r="AH147" i="1"/>
  <c r="AN146" i="1"/>
  <c r="AP146" i="1" s="1"/>
  <c r="AQ150" i="1"/>
  <c r="AM148" i="1"/>
  <c r="AK148" i="1"/>
  <c r="AA149" i="1"/>
  <c r="Z149" i="1" s="1"/>
  <c r="AI149" i="1" s="1"/>
  <c r="C150" i="1"/>
  <c r="AC150" i="1" s="1"/>
  <c r="G148" i="1"/>
  <c r="H148" i="1"/>
  <c r="J148" i="1"/>
  <c r="K148" i="1"/>
  <c r="D149" i="1"/>
  <c r="E150" i="1"/>
  <c r="AE150" i="1" s="1"/>
  <c r="AD150" i="1" s="1"/>
  <c r="Y149" i="1"/>
  <c r="T148" i="1"/>
  <c r="U147" i="1"/>
  <c r="V147" i="1" s="1"/>
  <c r="W146" i="1"/>
  <c r="P146" i="1" s="1"/>
  <c r="AM149" i="1" l="1"/>
  <c r="AK149" i="1"/>
  <c r="AQ151" i="1"/>
  <c r="AH148" i="1"/>
  <c r="AG148" i="1"/>
  <c r="AN147" i="1"/>
  <c r="AP147" i="1" s="1"/>
  <c r="L149" i="1"/>
  <c r="N149" i="1"/>
  <c r="AL148" i="1"/>
  <c r="AL149" i="1" s="1"/>
  <c r="D150" i="1"/>
  <c r="E151" i="1"/>
  <c r="AE151" i="1" s="1"/>
  <c r="AD151" i="1" s="1"/>
  <c r="Y150" i="1"/>
  <c r="T149" i="1"/>
  <c r="S148" i="1"/>
  <c r="L148" i="1"/>
  <c r="C151" i="1"/>
  <c r="AC151" i="1" s="1"/>
  <c r="AA150" i="1"/>
  <c r="Z150" i="1" s="1"/>
  <c r="M149" i="1"/>
  <c r="H149" i="1"/>
  <c r="J149" i="1"/>
  <c r="K149" i="1"/>
  <c r="G149" i="1"/>
  <c r="U148" i="1"/>
  <c r="V148" i="1" s="1"/>
  <c r="W147" i="1"/>
  <c r="P147" i="1" s="1"/>
  <c r="L150" i="1" l="1"/>
  <c r="N150" i="1"/>
  <c r="AG149" i="1"/>
  <c r="AH149" i="1"/>
  <c r="AN148" i="1"/>
  <c r="AP148" i="1" s="1"/>
  <c r="AM150" i="1"/>
  <c r="AK150" i="1"/>
  <c r="AI150" i="1"/>
  <c r="AQ152" i="1"/>
  <c r="M150" i="1"/>
  <c r="M148" i="1"/>
  <c r="S149" i="1"/>
  <c r="S150" i="1" s="1"/>
  <c r="E152" i="1"/>
  <c r="AE152" i="1" s="1"/>
  <c r="AD152" i="1" s="1"/>
  <c r="D151" i="1"/>
  <c r="Y151" i="1"/>
  <c r="AA151" i="1"/>
  <c r="Z151" i="1" s="1"/>
  <c r="N151" i="1" s="1"/>
  <c r="C152" i="1"/>
  <c r="AC152" i="1" s="1"/>
  <c r="J150" i="1"/>
  <c r="K150" i="1"/>
  <c r="G150" i="1"/>
  <c r="H150" i="1"/>
  <c r="T150" i="1"/>
  <c r="U149" i="1"/>
  <c r="V149" i="1" s="1"/>
  <c r="W148" i="1"/>
  <c r="AQ153" i="1" l="1"/>
  <c r="AK151" i="1"/>
  <c r="AM151" i="1"/>
  <c r="AL150" i="1"/>
  <c r="AI151" i="1"/>
  <c r="AN149" i="1"/>
  <c r="AP149" i="1" s="1"/>
  <c r="AG150" i="1"/>
  <c r="AH150" i="1"/>
  <c r="G151" i="1"/>
  <c r="J151" i="1"/>
  <c r="H151" i="1"/>
  <c r="K151" i="1"/>
  <c r="L151" i="1"/>
  <c r="C153" i="1"/>
  <c r="AC153" i="1" s="1"/>
  <c r="AA152" i="1"/>
  <c r="Z152" i="1" s="1"/>
  <c r="N152" i="1" s="1"/>
  <c r="S151" i="1"/>
  <c r="P148" i="1"/>
  <c r="T151" i="1"/>
  <c r="D152" i="1"/>
  <c r="E153" i="1"/>
  <c r="AE153" i="1" s="1"/>
  <c r="AD153" i="1" s="1"/>
  <c r="Y152" i="1"/>
  <c r="U150" i="1"/>
  <c r="V150" i="1" s="1"/>
  <c r="W149" i="1"/>
  <c r="P149" i="1" s="1"/>
  <c r="AL151" i="1" l="1"/>
  <c r="AN150" i="1"/>
  <c r="AP150" i="1" s="1"/>
  <c r="AG151" i="1"/>
  <c r="AH151" i="1"/>
  <c r="AQ154" i="1"/>
  <c r="AK152" i="1"/>
  <c r="AM152" i="1"/>
  <c r="AI152" i="1"/>
  <c r="M152" i="1"/>
  <c r="G152" i="1"/>
  <c r="J152" i="1"/>
  <c r="K152" i="1"/>
  <c r="H152" i="1"/>
  <c r="L152" i="1"/>
  <c r="AA153" i="1"/>
  <c r="Z153" i="1" s="1"/>
  <c r="AM153" i="1" s="1"/>
  <c r="C154" i="1"/>
  <c r="AC154" i="1" s="1"/>
  <c r="D153" i="1"/>
  <c r="Y153" i="1"/>
  <c r="E154" i="1"/>
  <c r="AE154" i="1" s="1"/>
  <c r="AD154" i="1" s="1"/>
  <c r="T152" i="1"/>
  <c r="M151" i="1"/>
  <c r="S152" i="1"/>
  <c r="W150" i="1"/>
  <c r="P150" i="1" s="1"/>
  <c r="U151" i="1"/>
  <c r="V151" i="1" s="1"/>
  <c r="AL152" i="1" l="1"/>
  <c r="T153" i="1"/>
  <c r="S153" i="1"/>
  <c r="AQ155" i="1"/>
  <c r="AG152" i="1"/>
  <c r="AH152" i="1"/>
  <c r="AN151" i="1"/>
  <c r="AP151" i="1" s="1"/>
  <c r="M153" i="1"/>
  <c r="N153" i="1"/>
  <c r="AI153" i="1"/>
  <c r="AK153" i="1"/>
  <c r="Y154" i="1"/>
  <c r="E155" i="1"/>
  <c r="AE155" i="1" s="1"/>
  <c r="AD155" i="1" s="1"/>
  <c r="D154" i="1"/>
  <c r="C155" i="1"/>
  <c r="AC155" i="1" s="1"/>
  <c r="AA154" i="1"/>
  <c r="Z154" i="1" s="1"/>
  <c r="L153" i="1"/>
  <c r="H153" i="1"/>
  <c r="J153" i="1"/>
  <c r="G153" i="1"/>
  <c r="K153" i="1"/>
  <c r="U152" i="1"/>
  <c r="V152" i="1" s="1"/>
  <c r="W151" i="1"/>
  <c r="P151" i="1" s="1"/>
  <c r="L154" i="1" l="1"/>
  <c r="N154" i="1"/>
  <c r="AK154" i="1"/>
  <c r="AI154" i="1"/>
  <c r="AN152" i="1"/>
  <c r="AP152" i="1" s="1"/>
  <c r="AG153" i="1"/>
  <c r="AH153" i="1"/>
  <c r="AQ156" i="1"/>
  <c r="AM154" i="1"/>
  <c r="AL153" i="1"/>
  <c r="H154" i="1"/>
  <c r="K154" i="1"/>
  <c r="G154" i="1"/>
  <c r="J154" i="1"/>
  <c r="S154" i="1"/>
  <c r="M154" i="1" s="1"/>
  <c r="AA155" i="1"/>
  <c r="Z155" i="1" s="1"/>
  <c r="C156" i="1"/>
  <c r="AC156" i="1" s="1"/>
  <c r="Y155" i="1"/>
  <c r="E156" i="1"/>
  <c r="AE156" i="1" s="1"/>
  <c r="AD156" i="1" s="1"/>
  <c r="D155" i="1"/>
  <c r="T154" i="1"/>
  <c r="U153" i="1"/>
  <c r="V153" i="1" s="1"/>
  <c r="W152" i="1"/>
  <c r="P152" i="1" s="1"/>
  <c r="AL154" i="1" l="1"/>
  <c r="T155" i="1"/>
  <c r="S155" i="1"/>
  <c r="N155" i="1"/>
  <c r="AQ157" i="1"/>
  <c r="L155" i="1"/>
  <c r="AH154" i="1"/>
  <c r="AN153" i="1"/>
  <c r="AP153" i="1" s="1"/>
  <c r="AG154" i="1"/>
  <c r="AI155" i="1"/>
  <c r="AM155" i="1"/>
  <c r="AK155" i="1"/>
  <c r="Y156" i="1"/>
  <c r="D156" i="1"/>
  <c r="E157" i="1"/>
  <c r="AE157" i="1" s="1"/>
  <c r="AD157" i="1" s="1"/>
  <c r="C157" i="1"/>
  <c r="AC157" i="1" s="1"/>
  <c r="AA156" i="1"/>
  <c r="Z156" i="1" s="1"/>
  <c r="AI156" i="1" s="1"/>
  <c r="M155" i="1"/>
  <c r="G155" i="1"/>
  <c r="J155" i="1"/>
  <c r="K155" i="1"/>
  <c r="H155" i="1"/>
  <c r="U154" i="1"/>
  <c r="V154" i="1" s="1"/>
  <c r="W153" i="1"/>
  <c r="P153" i="1" s="1"/>
  <c r="AL155" i="1" l="1"/>
  <c r="M156" i="1"/>
  <c r="N156" i="1"/>
  <c r="AM156" i="1"/>
  <c r="AK156" i="1"/>
  <c r="AN154" i="1"/>
  <c r="AP154" i="1" s="1"/>
  <c r="AG155" i="1"/>
  <c r="AH155" i="1"/>
  <c r="AQ158" i="1"/>
  <c r="L156" i="1"/>
  <c r="S156" i="1"/>
  <c r="Y157" i="1"/>
  <c r="D157" i="1"/>
  <c r="E158" i="1"/>
  <c r="AE158" i="1" s="1"/>
  <c r="AD158" i="1" s="1"/>
  <c r="G156" i="1"/>
  <c r="H156" i="1"/>
  <c r="K156" i="1"/>
  <c r="J156" i="1"/>
  <c r="AA157" i="1"/>
  <c r="Z157" i="1" s="1"/>
  <c r="N157" i="1" s="1"/>
  <c r="C158" i="1"/>
  <c r="AC158" i="1" s="1"/>
  <c r="T156" i="1"/>
  <c r="U155" i="1"/>
  <c r="V155" i="1" s="1"/>
  <c r="W154" i="1"/>
  <c r="P154" i="1" s="1"/>
  <c r="AQ159" i="1" l="1"/>
  <c r="AK157" i="1"/>
  <c r="AH156" i="1"/>
  <c r="AN155" i="1"/>
  <c r="AP155" i="1" s="1"/>
  <c r="AG156" i="1"/>
  <c r="AM157" i="1"/>
  <c r="AI157" i="1"/>
  <c r="AL156" i="1"/>
  <c r="AL157" i="1" s="1"/>
  <c r="G157" i="1"/>
  <c r="L157" i="1"/>
  <c r="J157" i="1"/>
  <c r="K157" i="1"/>
  <c r="H157" i="1"/>
  <c r="T157" i="1"/>
  <c r="E159" i="1"/>
  <c r="AE159" i="1" s="1"/>
  <c r="AD159" i="1" s="1"/>
  <c r="Y158" i="1"/>
  <c r="D158" i="1"/>
  <c r="C159" i="1"/>
  <c r="AC159" i="1" s="1"/>
  <c r="AA158" i="1"/>
  <c r="Z158" i="1" s="1"/>
  <c r="N158" i="1" s="1"/>
  <c r="S157" i="1"/>
  <c r="M157" i="1" s="1"/>
  <c r="U156" i="1"/>
  <c r="V156" i="1" s="1"/>
  <c r="W155" i="1"/>
  <c r="P155" i="1" s="1"/>
  <c r="AN156" i="1" l="1"/>
  <c r="AP156" i="1" s="1"/>
  <c r="AH157" i="1"/>
  <c r="AG157" i="1"/>
  <c r="AM158" i="1"/>
  <c r="AI158" i="1"/>
  <c r="AK158" i="1"/>
  <c r="AQ160" i="1"/>
  <c r="G158" i="1"/>
  <c r="K158" i="1"/>
  <c r="H158" i="1"/>
  <c r="J158" i="1"/>
  <c r="M158" i="1"/>
  <c r="L158" i="1"/>
  <c r="S158" i="1"/>
  <c r="C160" i="1"/>
  <c r="AC160" i="1" s="1"/>
  <c r="AA159" i="1"/>
  <c r="Z159" i="1" s="1"/>
  <c r="N159" i="1" s="1"/>
  <c r="T158" i="1"/>
  <c r="Y159" i="1"/>
  <c r="E160" i="1"/>
  <c r="AE160" i="1" s="1"/>
  <c r="AD160" i="1" s="1"/>
  <c r="D159" i="1"/>
  <c r="U157" i="1"/>
  <c r="V157" i="1" s="1"/>
  <c r="W156" i="1"/>
  <c r="P156" i="1" s="1"/>
  <c r="AQ161" i="1" l="1"/>
  <c r="AL158" i="1"/>
  <c r="AH158" i="1"/>
  <c r="AN157" i="1"/>
  <c r="AP157" i="1" s="1"/>
  <c r="AG158" i="1"/>
  <c r="AM159" i="1"/>
  <c r="AK159" i="1"/>
  <c r="AI159" i="1"/>
  <c r="G159" i="1"/>
  <c r="H159" i="1"/>
  <c r="K159" i="1"/>
  <c r="L159" i="1"/>
  <c r="J159" i="1"/>
  <c r="M159" i="1"/>
  <c r="D160" i="1"/>
  <c r="E161" i="1"/>
  <c r="AE161" i="1" s="1"/>
  <c r="AD161" i="1" s="1"/>
  <c r="Y160" i="1"/>
  <c r="T159" i="1"/>
  <c r="AA160" i="1"/>
  <c r="Z160" i="1" s="1"/>
  <c r="N160" i="1" s="1"/>
  <c r="C161" i="1"/>
  <c r="AC161" i="1" s="1"/>
  <c r="S159" i="1"/>
  <c r="U158" i="1"/>
  <c r="V158" i="1" s="1"/>
  <c r="W157" i="1"/>
  <c r="P157" i="1" s="1"/>
  <c r="AI160" i="1" l="1"/>
  <c r="AK160" i="1"/>
  <c r="AH159" i="1"/>
  <c r="AG159" i="1"/>
  <c r="AN158" i="1"/>
  <c r="AP158" i="1" s="1"/>
  <c r="AM160" i="1"/>
  <c r="AL159" i="1"/>
  <c r="AQ162" i="1"/>
  <c r="T160" i="1"/>
  <c r="AA161" i="1"/>
  <c r="Z161" i="1" s="1"/>
  <c r="N161" i="1" s="1"/>
  <c r="C162" i="1"/>
  <c r="AC162" i="1" s="1"/>
  <c r="Y161" i="1"/>
  <c r="D161" i="1"/>
  <c r="E162" i="1"/>
  <c r="AE162" i="1" s="1"/>
  <c r="AD162" i="1" s="1"/>
  <c r="K160" i="1"/>
  <c r="J160" i="1"/>
  <c r="H160" i="1"/>
  <c r="G160" i="1"/>
  <c r="U159" i="1"/>
  <c r="V159" i="1" s="1"/>
  <c r="W158" i="1"/>
  <c r="P158" i="1" s="1"/>
  <c r="AL160" i="1" l="1"/>
  <c r="AQ163" i="1"/>
  <c r="AG160" i="1"/>
  <c r="AN159" i="1"/>
  <c r="AP159" i="1" s="1"/>
  <c r="AH160" i="1"/>
  <c r="AM161" i="1"/>
  <c r="AK161" i="1"/>
  <c r="AI161" i="1"/>
  <c r="J161" i="1"/>
  <c r="K161" i="1"/>
  <c r="G161" i="1"/>
  <c r="L161" i="1"/>
  <c r="H161" i="1"/>
  <c r="M161" i="1"/>
  <c r="Y162" i="1"/>
  <c r="D162" i="1"/>
  <c r="E163" i="1"/>
  <c r="AE163" i="1" s="1"/>
  <c r="AD163" i="1" s="1"/>
  <c r="T161" i="1"/>
  <c r="L160" i="1"/>
  <c r="S160" i="1"/>
  <c r="AA162" i="1"/>
  <c r="Z162" i="1" s="1"/>
  <c r="N162" i="1" s="1"/>
  <c r="C163" i="1"/>
  <c r="AC163" i="1" s="1"/>
  <c r="U160" i="1"/>
  <c r="V160" i="1" s="1"/>
  <c r="W159" i="1"/>
  <c r="P159" i="1" s="1"/>
  <c r="AL161" i="1" l="1"/>
  <c r="AI162" i="1"/>
  <c r="AK162" i="1"/>
  <c r="AM162" i="1"/>
  <c r="AN160" i="1"/>
  <c r="AP160" i="1" s="1"/>
  <c r="AH161" i="1"/>
  <c r="AG161" i="1"/>
  <c r="AQ164" i="1"/>
  <c r="M160" i="1"/>
  <c r="S161" i="1"/>
  <c r="S162" i="1" s="1"/>
  <c r="M162" i="1"/>
  <c r="G162" i="1"/>
  <c r="H162" i="1"/>
  <c r="J162" i="1"/>
  <c r="K162" i="1"/>
  <c r="E164" i="1"/>
  <c r="AE164" i="1" s="1"/>
  <c r="AD164" i="1" s="1"/>
  <c r="D163" i="1"/>
  <c r="Y163" i="1"/>
  <c r="AA163" i="1"/>
  <c r="Z163" i="1" s="1"/>
  <c r="N163" i="1" s="1"/>
  <c r="C164" i="1"/>
  <c r="AC164" i="1" s="1"/>
  <c r="T162" i="1"/>
  <c r="L162" i="1"/>
  <c r="W160" i="1"/>
  <c r="U161" i="1"/>
  <c r="V161" i="1" s="1"/>
  <c r="P160" i="1" l="1"/>
  <c r="AQ165" i="1"/>
  <c r="AH162" i="1"/>
  <c r="AG162" i="1"/>
  <c r="AN161" i="1"/>
  <c r="AP161" i="1" s="1"/>
  <c r="AL162" i="1"/>
  <c r="AM163" i="1"/>
  <c r="AI163" i="1"/>
  <c r="AK163" i="1"/>
  <c r="G163" i="1"/>
  <c r="K163" i="1"/>
  <c r="H163" i="1"/>
  <c r="J163" i="1"/>
  <c r="L163" i="1"/>
  <c r="S163" i="1"/>
  <c r="M163" i="1" s="1"/>
  <c r="AA164" i="1"/>
  <c r="Z164" i="1" s="1"/>
  <c r="N164" i="1" s="1"/>
  <c r="C165" i="1"/>
  <c r="AC165" i="1" s="1"/>
  <c r="Y164" i="1"/>
  <c r="E165" i="1"/>
  <c r="AE165" i="1" s="1"/>
  <c r="AD165" i="1" s="1"/>
  <c r="D164" i="1"/>
  <c r="T163" i="1"/>
  <c r="U162" i="1"/>
  <c r="V162" i="1" s="1"/>
  <c r="W161" i="1"/>
  <c r="P161" i="1" s="1"/>
  <c r="AL163" i="1" l="1"/>
  <c r="AQ166" i="1"/>
  <c r="AI164" i="1"/>
  <c r="AH163" i="1"/>
  <c r="AG163" i="1"/>
  <c r="AN162" i="1"/>
  <c r="AP162" i="1" s="1"/>
  <c r="AK164" i="1"/>
  <c r="AM164" i="1"/>
  <c r="H164" i="1"/>
  <c r="K164" i="1"/>
  <c r="J164" i="1"/>
  <c r="G164" i="1"/>
  <c r="Y165" i="1"/>
  <c r="D165" i="1"/>
  <c r="E166" i="1"/>
  <c r="AE166" i="1" s="1"/>
  <c r="AD166" i="1" s="1"/>
  <c r="L164" i="1"/>
  <c r="M164" i="1"/>
  <c r="AA165" i="1"/>
  <c r="Z165" i="1" s="1"/>
  <c r="N165" i="1" s="1"/>
  <c r="C166" i="1"/>
  <c r="AC166" i="1" s="1"/>
  <c r="S164" i="1"/>
  <c r="T164" i="1"/>
  <c r="W162" i="1"/>
  <c r="P162" i="1" s="1"/>
  <c r="U163" i="1"/>
  <c r="V163" i="1" s="1"/>
  <c r="AN163" i="1" l="1"/>
  <c r="AP163" i="1" s="1"/>
  <c r="AG164" i="1"/>
  <c r="AH164" i="1"/>
  <c r="AI165" i="1"/>
  <c r="AK165" i="1"/>
  <c r="AQ167" i="1"/>
  <c r="AM165" i="1"/>
  <c r="AL164" i="1"/>
  <c r="AL165" i="1" s="1"/>
  <c r="G165" i="1"/>
  <c r="H165" i="1"/>
  <c r="J165" i="1"/>
  <c r="L165" i="1"/>
  <c r="M165" i="1"/>
  <c r="K165" i="1"/>
  <c r="T165" i="1"/>
  <c r="D166" i="1"/>
  <c r="E167" i="1"/>
  <c r="AE167" i="1" s="1"/>
  <c r="AD167" i="1" s="1"/>
  <c r="Y166" i="1"/>
  <c r="S165" i="1"/>
  <c r="AA166" i="1"/>
  <c r="Z166" i="1" s="1"/>
  <c r="C167" i="1"/>
  <c r="AC167" i="1" s="1"/>
  <c r="U164" i="1"/>
  <c r="V164" i="1" s="1"/>
  <c r="W163" i="1"/>
  <c r="P163" i="1" s="1"/>
  <c r="L166" i="1" l="1"/>
  <c r="N166" i="1"/>
  <c r="AQ168" i="1"/>
  <c r="AH165" i="1"/>
  <c r="AN164" i="1"/>
  <c r="AP164" i="1" s="1"/>
  <c r="AG165" i="1"/>
  <c r="AM166" i="1"/>
  <c r="AK166" i="1"/>
  <c r="AI166" i="1"/>
  <c r="S166" i="1"/>
  <c r="M166" i="1" s="1"/>
  <c r="AA167" i="1"/>
  <c r="Z167" i="1" s="1"/>
  <c r="N167" i="1" s="1"/>
  <c r="C168" i="1"/>
  <c r="AC168" i="1" s="1"/>
  <c r="Y167" i="1"/>
  <c r="E168" i="1"/>
  <c r="AE168" i="1" s="1"/>
  <c r="AD168" i="1" s="1"/>
  <c r="D167" i="1"/>
  <c r="J166" i="1"/>
  <c r="K166" i="1"/>
  <c r="H166" i="1"/>
  <c r="G166" i="1"/>
  <c r="T166" i="1"/>
  <c r="U165" i="1"/>
  <c r="V165" i="1" s="1"/>
  <c r="W164" i="1"/>
  <c r="P164" i="1" s="1"/>
  <c r="T167" i="1" l="1"/>
  <c r="AL166" i="1"/>
  <c r="AQ169" i="1"/>
  <c r="AH166" i="1"/>
  <c r="AG166" i="1"/>
  <c r="AN165" i="1"/>
  <c r="AP165" i="1" s="1"/>
  <c r="AM167" i="1"/>
  <c r="AK167" i="1"/>
  <c r="AI167" i="1"/>
  <c r="Y168" i="1"/>
  <c r="D168" i="1"/>
  <c r="E169" i="1"/>
  <c r="AE169" i="1" s="1"/>
  <c r="AD169" i="1" s="1"/>
  <c r="G167" i="1"/>
  <c r="H167" i="1"/>
  <c r="J167" i="1"/>
  <c r="K167" i="1"/>
  <c r="M167" i="1"/>
  <c r="L167" i="1"/>
  <c r="S167" i="1"/>
  <c r="C169" i="1"/>
  <c r="AC169" i="1" s="1"/>
  <c r="AA168" i="1"/>
  <c r="Z168" i="1" s="1"/>
  <c r="N168" i="1" s="1"/>
  <c r="W165" i="1"/>
  <c r="P165" i="1" s="1"/>
  <c r="U166" i="1"/>
  <c r="V166" i="1" s="1"/>
  <c r="AN166" i="1" l="1"/>
  <c r="AP166" i="1" s="1"/>
  <c r="AG167" i="1"/>
  <c r="AH167" i="1"/>
  <c r="AM168" i="1"/>
  <c r="AI168" i="1"/>
  <c r="AQ170" i="1"/>
  <c r="AK168" i="1"/>
  <c r="AL167" i="1"/>
  <c r="G168" i="1"/>
  <c r="H168" i="1"/>
  <c r="J168" i="1"/>
  <c r="K168" i="1"/>
  <c r="L168" i="1"/>
  <c r="M168" i="1"/>
  <c r="T168" i="1"/>
  <c r="AA169" i="1"/>
  <c r="Z169" i="1" s="1"/>
  <c r="N169" i="1" s="1"/>
  <c r="C170" i="1"/>
  <c r="AC170" i="1" s="1"/>
  <c r="Y169" i="1"/>
  <c r="E170" i="1"/>
  <c r="AE170" i="1" s="1"/>
  <c r="AD170" i="1" s="1"/>
  <c r="D169" i="1"/>
  <c r="S168" i="1"/>
  <c r="U167" i="1"/>
  <c r="V167" i="1" s="1"/>
  <c r="W166" i="1"/>
  <c r="P166" i="1" s="1"/>
  <c r="AL168" i="1" l="1"/>
  <c r="S169" i="1"/>
  <c r="AN167" i="1"/>
  <c r="AP167" i="1" s="1"/>
  <c r="AH168" i="1"/>
  <c r="AG168" i="1"/>
  <c r="AI169" i="1"/>
  <c r="AQ171" i="1"/>
  <c r="AK169" i="1"/>
  <c r="AM169" i="1"/>
  <c r="M169" i="1"/>
  <c r="J169" i="1"/>
  <c r="G169" i="1"/>
  <c r="K169" i="1"/>
  <c r="H169" i="1"/>
  <c r="L169" i="1"/>
  <c r="T169" i="1"/>
  <c r="C171" i="1"/>
  <c r="AC171" i="1" s="1"/>
  <c r="AA170" i="1"/>
  <c r="Z170" i="1" s="1"/>
  <c r="E171" i="1"/>
  <c r="AE171" i="1" s="1"/>
  <c r="AD171" i="1" s="1"/>
  <c r="D170" i="1"/>
  <c r="Y170" i="1"/>
  <c r="W167" i="1"/>
  <c r="P167" i="1" s="1"/>
  <c r="U168" i="1"/>
  <c r="V168" i="1" s="1"/>
  <c r="AL169" i="1" l="1"/>
  <c r="S170" i="1"/>
  <c r="N170" i="1"/>
  <c r="AQ172" i="1"/>
  <c r="AN168" i="1"/>
  <c r="AP168" i="1" s="1"/>
  <c r="AH169" i="1"/>
  <c r="AG169" i="1"/>
  <c r="AM170" i="1"/>
  <c r="AK170" i="1"/>
  <c r="AI170" i="1"/>
  <c r="C172" i="1"/>
  <c r="AC172" i="1" s="1"/>
  <c r="AA171" i="1"/>
  <c r="Z171" i="1" s="1"/>
  <c r="AM171" i="1" s="1"/>
  <c r="D171" i="1"/>
  <c r="Y171" i="1"/>
  <c r="E172" i="1"/>
  <c r="AE172" i="1" s="1"/>
  <c r="AD172" i="1" s="1"/>
  <c r="T170" i="1"/>
  <c r="H170" i="1"/>
  <c r="G170" i="1"/>
  <c r="J170" i="1"/>
  <c r="K170" i="1"/>
  <c r="M170" i="1"/>
  <c r="L170" i="1"/>
  <c r="U169" i="1"/>
  <c r="V169" i="1" s="1"/>
  <c r="W168" i="1"/>
  <c r="P168" i="1" s="1"/>
  <c r="T171" i="1" l="1"/>
  <c r="AG170" i="1"/>
  <c r="AH170" i="1"/>
  <c r="AN169" i="1"/>
  <c r="AP169" i="1" s="1"/>
  <c r="S171" i="1"/>
  <c r="N171" i="1"/>
  <c r="AQ173" i="1"/>
  <c r="AI171" i="1"/>
  <c r="AK171" i="1"/>
  <c r="AL170" i="1"/>
  <c r="AA172" i="1"/>
  <c r="Z172" i="1" s="1"/>
  <c r="N172" i="1" s="1"/>
  <c r="C173" i="1"/>
  <c r="AC173" i="1" s="1"/>
  <c r="M171" i="1"/>
  <c r="Y172" i="1"/>
  <c r="D172" i="1"/>
  <c r="E173" i="1"/>
  <c r="AE173" i="1" s="1"/>
  <c r="AD173" i="1" s="1"/>
  <c r="L171" i="1"/>
  <c r="H171" i="1"/>
  <c r="J171" i="1"/>
  <c r="K171" i="1"/>
  <c r="G171" i="1"/>
  <c r="U170" i="1"/>
  <c r="V170" i="1" s="1"/>
  <c r="W169" i="1"/>
  <c r="P169" i="1" s="1"/>
  <c r="AL171" i="1" l="1"/>
  <c r="AI172" i="1"/>
  <c r="AK172" i="1"/>
  <c r="AM172" i="1"/>
  <c r="AQ174" i="1"/>
  <c r="AN170" i="1"/>
  <c r="AP170" i="1" s="1"/>
  <c r="AH171" i="1"/>
  <c r="AG171" i="1"/>
  <c r="G172" i="1"/>
  <c r="H172" i="1"/>
  <c r="J172" i="1"/>
  <c r="K172" i="1"/>
  <c r="T172" i="1"/>
  <c r="Y173" i="1"/>
  <c r="E174" i="1"/>
  <c r="AE174" i="1" s="1"/>
  <c r="AD174" i="1" s="1"/>
  <c r="D173" i="1"/>
  <c r="C174" i="1"/>
  <c r="AC174" i="1" s="1"/>
  <c r="AA173" i="1"/>
  <c r="Z173" i="1" s="1"/>
  <c r="N173" i="1" s="1"/>
  <c r="U171" i="1"/>
  <c r="V171" i="1" s="1"/>
  <c r="W170" i="1"/>
  <c r="P170" i="1" s="1"/>
  <c r="AM173" i="1" l="1"/>
  <c r="AG172" i="1"/>
  <c r="AH172" i="1"/>
  <c r="AN171" i="1"/>
  <c r="AP171" i="1" s="1"/>
  <c r="AK173" i="1"/>
  <c r="AI173" i="1"/>
  <c r="AQ175" i="1"/>
  <c r="G173" i="1"/>
  <c r="K173" i="1"/>
  <c r="H173" i="1"/>
  <c r="J173" i="1"/>
  <c r="C175" i="1"/>
  <c r="AC175" i="1" s="1"/>
  <c r="AA174" i="1"/>
  <c r="Z174" i="1" s="1"/>
  <c r="N174" i="1" s="1"/>
  <c r="L173" i="1"/>
  <c r="L172" i="1"/>
  <c r="S172" i="1"/>
  <c r="T173" i="1"/>
  <c r="M173" i="1"/>
  <c r="Y174" i="1"/>
  <c r="D174" i="1"/>
  <c r="E175" i="1"/>
  <c r="AE175" i="1" s="1"/>
  <c r="AD175" i="1" s="1"/>
  <c r="W171" i="1"/>
  <c r="P171" i="1" s="1"/>
  <c r="U172" i="1"/>
  <c r="V172" i="1" s="1"/>
  <c r="AI174" i="1" l="1"/>
  <c r="AM174" i="1"/>
  <c r="AL172" i="1"/>
  <c r="AG173" i="1"/>
  <c r="AH173" i="1"/>
  <c r="AN172" i="1"/>
  <c r="AQ176" i="1"/>
  <c r="AK174" i="1"/>
  <c r="T174" i="1"/>
  <c r="H174" i="1"/>
  <c r="G174" i="1"/>
  <c r="J174" i="1"/>
  <c r="K174" i="1"/>
  <c r="M174" i="1"/>
  <c r="L174" i="1"/>
  <c r="E176" i="1"/>
  <c r="AE176" i="1" s="1"/>
  <c r="AD176" i="1" s="1"/>
  <c r="D175" i="1"/>
  <c r="Y175" i="1"/>
  <c r="S173" i="1"/>
  <c r="S174" i="1" s="1"/>
  <c r="M172" i="1"/>
  <c r="C176" i="1"/>
  <c r="AC176" i="1" s="1"/>
  <c r="AA175" i="1"/>
  <c r="Z175" i="1" s="1"/>
  <c r="N175" i="1" s="1"/>
  <c r="U173" i="1"/>
  <c r="V173" i="1" s="1"/>
  <c r="W172" i="1"/>
  <c r="AM175" i="1" l="1"/>
  <c r="AP172" i="1"/>
  <c r="AK175" i="1"/>
  <c r="AI175" i="1"/>
  <c r="AQ177" i="1"/>
  <c r="AN173" i="1"/>
  <c r="AH174" i="1"/>
  <c r="AG174" i="1"/>
  <c r="AL173" i="1"/>
  <c r="H175" i="1"/>
  <c r="K175" i="1"/>
  <c r="G175" i="1"/>
  <c r="J175" i="1"/>
  <c r="L175" i="1"/>
  <c r="T175" i="1"/>
  <c r="AA176" i="1"/>
  <c r="Z176" i="1" s="1"/>
  <c r="N176" i="1" s="1"/>
  <c r="C177" i="1"/>
  <c r="AC177" i="1" s="1"/>
  <c r="Y176" i="1"/>
  <c r="D176" i="1"/>
  <c r="E177" i="1"/>
  <c r="AE177" i="1" s="1"/>
  <c r="AD177" i="1" s="1"/>
  <c r="P172" i="1"/>
  <c r="S175" i="1"/>
  <c r="U174" i="1"/>
  <c r="V174" i="1" s="1"/>
  <c r="W173" i="1"/>
  <c r="P173" i="1" s="1"/>
  <c r="AQ178" i="1" l="1"/>
  <c r="AG175" i="1"/>
  <c r="AH175" i="1"/>
  <c r="AN174" i="1"/>
  <c r="AP173" i="1"/>
  <c r="AK176" i="1"/>
  <c r="AL174" i="1"/>
  <c r="AL175" i="1" s="1"/>
  <c r="AM176" i="1"/>
  <c r="AI176" i="1"/>
  <c r="S176" i="1"/>
  <c r="M175" i="1"/>
  <c r="M176" i="1"/>
  <c r="J176" i="1"/>
  <c r="G176" i="1"/>
  <c r="H176" i="1"/>
  <c r="K176" i="1"/>
  <c r="L176" i="1"/>
  <c r="T176" i="1"/>
  <c r="D177" i="1"/>
  <c r="E178" i="1"/>
  <c r="AE178" i="1" s="1"/>
  <c r="AD178" i="1" s="1"/>
  <c r="Y177" i="1"/>
  <c r="AA177" i="1"/>
  <c r="Z177" i="1" s="1"/>
  <c r="N177" i="1" s="1"/>
  <c r="C178" i="1"/>
  <c r="AC178" i="1" s="1"/>
  <c r="W174" i="1"/>
  <c r="P174" i="1" s="1"/>
  <c r="U175" i="1"/>
  <c r="V175" i="1" s="1"/>
  <c r="AL176" i="1" l="1"/>
  <c r="AM177" i="1"/>
  <c r="AK177" i="1"/>
  <c r="AI177" i="1"/>
  <c r="AN175" i="1"/>
  <c r="AP175" i="1" s="1"/>
  <c r="AG176" i="1"/>
  <c r="AH176" i="1"/>
  <c r="AP174" i="1"/>
  <c r="AQ179" i="1"/>
  <c r="K177" i="1"/>
  <c r="G177" i="1"/>
  <c r="H177" i="1"/>
  <c r="J177" i="1"/>
  <c r="L177" i="1"/>
  <c r="M177" i="1"/>
  <c r="S177" i="1"/>
  <c r="E179" i="1"/>
  <c r="AE179" i="1" s="1"/>
  <c r="AD179" i="1" s="1"/>
  <c r="D178" i="1"/>
  <c r="Y178" i="1"/>
  <c r="T177" i="1"/>
  <c r="AA178" i="1"/>
  <c r="Z178" i="1" s="1"/>
  <c r="AI178" i="1" s="1"/>
  <c r="C179" i="1"/>
  <c r="AC179" i="1" s="1"/>
  <c r="U176" i="1"/>
  <c r="V176" i="1" s="1"/>
  <c r="W175" i="1"/>
  <c r="P175" i="1" s="1"/>
  <c r="L178" i="1" l="1"/>
  <c r="N178" i="1"/>
  <c r="AQ180" i="1"/>
  <c r="AM178" i="1"/>
  <c r="AK178" i="1"/>
  <c r="AN176" i="1"/>
  <c r="AP176" i="1" s="1"/>
  <c r="AH177" i="1"/>
  <c r="AG177" i="1"/>
  <c r="AL177" i="1"/>
  <c r="J178" i="1"/>
  <c r="G178" i="1"/>
  <c r="H178" i="1"/>
  <c r="K178" i="1"/>
  <c r="D179" i="1"/>
  <c r="E180" i="1"/>
  <c r="AE180" i="1" s="1"/>
  <c r="AD180" i="1" s="1"/>
  <c r="Y179" i="1"/>
  <c r="AA179" i="1"/>
  <c r="Z179" i="1" s="1"/>
  <c r="N179" i="1" s="1"/>
  <c r="C180" i="1"/>
  <c r="AC180" i="1" s="1"/>
  <c r="S178" i="1"/>
  <c r="M178" i="1" s="1"/>
  <c r="T178" i="1"/>
  <c r="U177" i="1"/>
  <c r="V177" i="1" s="1"/>
  <c r="W176" i="1"/>
  <c r="P176" i="1" s="1"/>
  <c r="AL178" i="1" l="1"/>
  <c r="AQ181" i="1"/>
  <c r="AN177" i="1"/>
  <c r="AP177" i="1" s="1"/>
  <c r="AG178" i="1"/>
  <c r="AH178" i="1"/>
  <c r="AK179" i="1"/>
  <c r="AM179" i="1"/>
  <c r="AI179" i="1"/>
  <c r="T179" i="1"/>
  <c r="L179" i="1"/>
  <c r="K179" i="1"/>
  <c r="G179" i="1"/>
  <c r="J179" i="1"/>
  <c r="H179" i="1"/>
  <c r="M179" i="1"/>
  <c r="Y180" i="1"/>
  <c r="D180" i="1"/>
  <c r="E181" i="1"/>
  <c r="AE181" i="1" s="1"/>
  <c r="AD181" i="1" s="1"/>
  <c r="S179" i="1"/>
  <c r="C181" i="1"/>
  <c r="AC181" i="1" s="1"/>
  <c r="AA180" i="1"/>
  <c r="Z180" i="1" s="1"/>
  <c r="N180" i="1" s="1"/>
  <c r="U178" i="1"/>
  <c r="V178" i="1" s="1"/>
  <c r="W177" i="1"/>
  <c r="P177" i="1" s="1"/>
  <c r="AL179" i="1" l="1"/>
  <c r="AQ182" i="1"/>
  <c r="AK180" i="1"/>
  <c r="AH179" i="1"/>
  <c r="AG179" i="1"/>
  <c r="AN178" i="1"/>
  <c r="AP178" i="1" s="1"/>
  <c r="AM180" i="1"/>
  <c r="AI180" i="1"/>
  <c r="T180" i="1"/>
  <c r="L180" i="1"/>
  <c r="S180" i="1"/>
  <c r="AA181" i="1"/>
  <c r="Z181" i="1" s="1"/>
  <c r="N181" i="1" s="1"/>
  <c r="C182" i="1"/>
  <c r="AC182" i="1" s="1"/>
  <c r="D181" i="1"/>
  <c r="Y181" i="1"/>
  <c r="E182" i="1"/>
  <c r="AE182" i="1" s="1"/>
  <c r="AD182" i="1" s="1"/>
  <c r="M180" i="1"/>
  <c r="G180" i="1"/>
  <c r="H180" i="1"/>
  <c r="J180" i="1"/>
  <c r="K180" i="1"/>
  <c r="U179" i="1"/>
  <c r="V179" i="1" s="1"/>
  <c r="W178" i="1"/>
  <c r="P178" i="1" s="1"/>
  <c r="AL180" i="1" l="1"/>
  <c r="AN179" i="1"/>
  <c r="AP179" i="1" s="1"/>
  <c r="AG180" i="1"/>
  <c r="AH180" i="1"/>
  <c r="AK181" i="1"/>
  <c r="AQ183" i="1"/>
  <c r="AM181" i="1"/>
  <c r="AI181" i="1"/>
  <c r="G181" i="1"/>
  <c r="H181" i="1"/>
  <c r="K181" i="1"/>
  <c r="J181" i="1"/>
  <c r="D182" i="1"/>
  <c r="E183" i="1"/>
  <c r="AE183" i="1" s="1"/>
  <c r="AD183" i="1" s="1"/>
  <c r="Y182" i="1"/>
  <c r="L181" i="1"/>
  <c r="AA182" i="1"/>
  <c r="Z182" i="1" s="1"/>
  <c r="AI182" i="1" s="1"/>
  <c r="C183" i="1"/>
  <c r="AC183" i="1" s="1"/>
  <c r="T181" i="1"/>
  <c r="S181" i="1"/>
  <c r="M181" i="1" s="1"/>
  <c r="W179" i="1"/>
  <c r="P179" i="1" s="1"/>
  <c r="U180" i="1"/>
  <c r="V180" i="1" s="1"/>
  <c r="AL181" i="1" l="1"/>
  <c r="AM182" i="1"/>
  <c r="AH181" i="1"/>
  <c r="AG181" i="1"/>
  <c r="AN180" i="1"/>
  <c r="AP180" i="1" s="1"/>
  <c r="M182" i="1"/>
  <c r="N182" i="1"/>
  <c r="AQ184" i="1"/>
  <c r="AK182" i="1"/>
  <c r="T182" i="1"/>
  <c r="S182" i="1"/>
  <c r="C184" i="1"/>
  <c r="AC184" i="1" s="1"/>
  <c r="AA183" i="1"/>
  <c r="Z183" i="1" s="1"/>
  <c r="AI183" i="1" s="1"/>
  <c r="Y183" i="1"/>
  <c r="E184" i="1"/>
  <c r="AE184" i="1" s="1"/>
  <c r="AD184" i="1" s="1"/>
  <c r="D183" i="1"/>
  <c r="L182" i="1"/>
  <c r="J182" i="1"/>
  <c r="K182" i="1"/>
  <c r="G182" i="1"/>
  <c r="H182" i="1"/>
  <c r="U181" i="1"/>
  <c r="V181" i="1" s="1"/>
  <c r="W180" i="1"/>
  <c r="P180" i="1" s="1"/>
  <c r="AM183" i="1" l="1"/>
  <c r="AG182" i="1"/>
  <c r="AN181" i="1"/>
  <c r="AP181" i="1" s="1"/>
  <c r="AH182" i="1"/>
  <c r="AK183" i="1"/>
  <c r="AQ185" i="1"/>
  <c r="M183" i="1"/>
  <c r="N183" i="1"/>
  <c r="AL182" i="1"/>
  <c r="C185" i="1"/>
  <c r="AC185" i="1" s="1"/>
  <c r="AA184" i="1"/>
  <c r="Z184" i="1" s="1"/>
  <c r="N184" i="1" s="1"/>
  <c r="L183" i="1"/>
  <c r="G183" i="1"/>
  <c r="H183" i="1"/>
  <c r="J183" i="1"/>
  <c r="K183" i="1"/>
  <c r="E185" i="1"/>
  <c r="AE185" i="1" s="1"/>
  <c r="AD185" i="1" s="1"/>
  <c r="D184" i="1"/>
  <c r="Y184" i="1"/>
  <c r="S183" i="1"/>
  <c r="T183" i="1"/>
  <c r="U182" i="1"/>
  <c r="V182" i="1" s="1"/>
  <c r="W181" i="1"/>
  <c r="P181" i="1" s="1"/>
  <c r="AL183" i="1" l="1"/>
  <c r="AM184" i="1"/>
  <c r="AI184" i="1"/>
  <c r="AK184" i="1"/>
  <c r="T184" i="1"/>
  <c r="S184" i="1" s="1"/>
  <c r="M184" i="1" s="1"/>
  <c r="AG183" i="1"/>
  <c r="AH183" i="1"/>
  <c r="AN182" i="1"/>
  <c r="AP182" i="1" s="1"/>
  <c r="AQ186" i="1"/>
  <c r="H184" i="1"/>
  <c r="J184" i="1"/>
  <c r="K184" i="1"/>
  <c r="G184" i="1"/>
  <c r="L184" i="1"/>
  <c r="D185" i="1"/>
  <c r="Y185" i="1"/>
  <c r="E186" i="1"/>
  <c r="AE186" i="1" s="1"/>
  <c r="AD186" i="1" s="1"/>
  <c r="AA185" i="1"/>
  <c r="Z185" i="1" s="1"/>
  <c r="C186" i="1"/>
  <c r="AC186" i="1" s="1"/>
  <c r="U183" i="1"/>
  <c r="V183" i="1" s="1"/>
  <c r="W182" i="1"/>
  <c r="P182" i="1" s="1"/>
  <c r="S185" i="1" l="1"/>
  <c r="N185" i="1"/>
  <c r="AM185" i="1"/>
  <c r="AK185" i="1"/>
  <c r="AI185" i="1"/>
  <c r="AH184" i="1"/>
  <c r="AG184" i="1"/>
  <c r="AN183" i="1"/>
  <c r="AP183" i="1" s="1"/>
  <c r="AQ187" i="1"/>
  <c r="AL184" i="1"/>
  <c r="M185" i="1"/>
  <c r="AA186" i="1"/>
  <c r="Z186" i="1" s="1"/>
  <c r="C187" i="1"/>
  <c r="AC187" i="1" s="1"/>
  <c r="L185" i="1"/>
  <c r="G185" i="1"/>
  <c r="H185" i="1"/>
  <c r="J185" i="1"/>
  <c r="K185" i="1"/>
  <c r="E187" i="1"/>
  <c r="AE187" i="1" s="1"/>
  <c r="AD187" i="1" s="1"/>
  <c r="D186" i="1"/>
  <c r="Y186" i="1"/>
  <c r="T185" i="1"/>
  <c r="U184" i="1"/>
  <c r="V184" i="1" s="1"/>
  <c r="W183" i="1"/>
  <c r="P183" i="1" s="1"/>
  <c r="AL185" i="1" l="1"/>
  <c r="T186" i="1"/>
  <c r="L186" i="1"/>
  <c r="N186" i="1"/>
  <c r="AM186" i="1"/>
  <c r="AQ188" i="1"/>
  <c r="AH185" i="1"/>
  <c r="AN184" i="1"/>
  <c r="AP184" i="1" s="1"/>
  <c r="AG185" i="1"/>
  <c r="AK186" i="1"/>
  <c r="AI186" i="1"/>
  <c r="M186" i="1"/>
  <c r="Y187" i="1"/>
  <c r="E188" i="1"/>
  <c r="AE188" i="1" s="1"/>
  <c r="AD188" i="1" s="1"/>
  <c r="D187" i="1"/>
  <c r="AA187" i="1"/>
  <c r="Z187" i="1" s="1"/>
  <c r="N187" i="1" s="1"/>
  <c r="C188" i="1"/>
  <c r="AC188" i="1" s="1"/>
  <c r="K186" i="1"/>
  <c r="G186" i="1"/>
  <c r="H186" i="1"/>
  <c r="J186" i="1"/>
  <c r="S186" i="1"/>
  <c r="U185" i="1"/>
  <c r="V185" i="1" s="1"/>
  <c r="W184" i="1"/>
  <c r="P184" i="1" s="1"/>
  <c r="AM187" i="1" l="1"/>
  <c r="AK187" i="1"/>
  <c r="AH186" i="1"/>
  <c r="AN185" i="1"/>
  <c r="AP185" i="1" s="1"/>
  <c r="AG186" i="1"/>
  <c r="AQ189" i="1"/>
  <c r="AI187" i="1"/>
  <c r="AL186" i="1"/>
  <c r="AL187" i="1" s="1"/>
  <c r="S187" i="1"/>
  <c r="M187" i="1" s="1"/>
  <c r="G187" i="1"/>
  <c r="J187" i="1"/>
  <c r="H187" i="1"/>
  <c r="K187" i="1"/>
  <c r="Y188" i="1"/>
  <c r="D188" i="1"/>
  <c r="E189" i="1"/>
  <c r="AE189" i="1" s="1"/>
  <c r="AD189" i="1" s="1"/>
  <c r="L187" i="1"/>
  <c r="AA188" i="1"/>
  <c r="Z188" i="1" s="1"/>
  <c r="C189" i="1"/>
  <c r="AC189" i="1" s="1"/>
  <c r="T187" i="1"/>
  <c r="U186" i="1"/>
  <c r="V186" i="1" s="1"/>
  <c r="W185" i="1"/>
  <c r="P185" i="1" s="1"/>
  <c r="AQ190" i="1" l="1"/>
  <c r="AN186" i="1"/>
  <c r="AP186" i="1" s="1"/>
  <c r="AG187" i="1"/>
  <c r="AH187" i="1"/>
  <c r="M188" i="1"/>
  <c r="N188" i="1"/>
  <c r="AK188" i="1"/>
  <c r="AM188" i="1"/>
  <c r="AI188" i="1"/>
  <c r="AA189" i="1"/>
  <c r="Z189" i="1" s="1"/>
  <c r="N189" i="1" s="1"/>
  <c r="C190" i="1"/>
  <c r="AC190" i="1" s="1"/>
  <c r="G188" i="1"/>
  <c r="H188" i="1"/>
  <c r="J188" i="1"/>
  <c r="K188" i="1"/>
  <c r="T188" i="1"/>
  <c r="L188" i="1"/>
  <c r="S188" i="1"/>
  <c r="E190" i="1"/>
  <c r="AE190" i="1" s="1"/>
  <c r="AD190" i="1" s="1"/>
  <c r="D189" i="1"/>
  <c r="Y189" i="1"/>
  <c r="U187" i="1"/>
  <c r="V187" i="1" s="1"/>
  <c r="W186" i="1"/>
  <c r="P186" i="1" s="1"/>
  <c r="M189" i="1" l="1"/>
  <c r="S189" i="1"/>
  <c r="T189" i="1"/>
  <c r="AL188" i="1"/>
  <c r="AQ191" i="1"/>
  <c r="AN187" i="1"/>
  <c r="AP187" i="1" s="1"/>
  <c r="AH188" i="1"/>
  <c r="AG188" i="1"/>
  <c r="AI189" i="1"/>
  <c r="AK189" i="1"/>
  <c r="AM189" i="1"/>
  <c r="E191" i="1"/>
  <c r="AE191" i="1" s="1"/>
  <c r="AD191" i="1" s="1"/>
  <c r="D190" i="1"/>
  <c r="Y190" i="1"/>
  <c r="C191" i="1"/>
  <c r="AC191" i="1" s="1"/>
  <c r="AA190" i="1"/>
  <c r="Z190" i="1" s="1"/>
  <c r="N190" i="1" s="1"/>
  <c r="L189" i="1"/>
  <c r="G189" i="1"/>
  <c r="H189" i="1"/>
  <c r="K189" i="1"/>
  <c r="J189" i="1"/>
  <c r="U188" i="1"/>
  <c r="V188" i="1" s="1"/>
  <c r="W187" i="1"/>
  <c r="P187" i="1" s="1"/>
  <c r="AQ192" i="1" l="1"/>
  <c r="AH189" i="1"/>
  <c r="AG189" i="1"/>
  <c r="AN188" i="1"/>
  <c r="AP188" i="1" s="1"/>
  <c r="AI190" i="1"/>
  <c r="AM190" i="1"/>
  <c r="AK190" i="1"/>
  <c r="AL189" i="1"/>
  <c r="J190" i="1"/>
  <c r="K190" i="1"/>
  <c r="L190" i="1"/>
  <c r="H190" i="1"/>
  <c r="G190" i="1"/>
  <c r="S190" i="1"/>
  <c r="T190" i="1"/>
  <c r="AA191" i="1"/>
  <c r="Z191" i="1" s="1"/>
  <c r="N191" i="1" s="1"/>
  <c r="C192" i="1"/>
  <c r="AC192" i="1" s="1"/>
  <c r="Y191" i="1"/>
  <c r="D191" i="1"/>
  <c r="E192" i="1"/>
  <c r="AE192" i="1" s="1"/>
  <c r="AD192" i="1" s="1"/>
  <c r="U189" i="1"/>
  <c r="V189" i="1" s="1"/>
  <c r="W188" i="1"/>
  <c r="P188" i="1" s="1"/>
  <c r="AL190" i="1" l="1"/>
  <c r="AG190" i="1"/>
  <c r="AN189" i="1"/>
  <c r="AP189" i="1" s="1"/>
  <c r="AH190" i="1"/>
  <c r="AQ193" i="1"/>
  <c r="AK191" i="1"/>
  <c r="AM191" i="1"/>
  <c r="AI191" i="1"/>
  <c r="H191" i="1"/>
  <c r="L191" i="1"/>
  <c r="J191" i="1"/>
  <c r="K191" i="1"/>
  <c r="G191" i="1"/>
  <c r="M191" i="1"/>
  <c r="M190" i="1"/>
  <c r="S191" i="1"/>
  <c r="D192" i="1"/>
  <c r="Y192" i="1"/>
  <c r="E193" i="1"/>
  <c r="AE193" i="1" s="1"/>
  <c r="AD193" i="1" s="1"/>
  <c r="AA192" i="1"/>
  <c r="Z192" i="1" s="1"/>
  <c r="N192" i="1" s="1"/>
  <c r="C193" i="1"/>
  <c r="AC193" i="1" s="1"/>
  <c r="T191" i="1"/>
  <c r="W189" i="1"/>
  <c r="P189" i="1" s="1"/>
  <c r="U190" i="1"/>
  <c r="V190" i="1" s="1"/>
  <c r="AL191" i="1" l="1"/>
  <c r="AK192" i="1"/>
  <c r="AQ194" i="1"/>
  <c r="AG191" i="1"/>
  <c r="AH191" i="1"/>
  <c r="AN190" i="1"/>
  <c r="AP190" i="1" s="1"/>
  <c r="AM192" i="1"/>
  <c r="AI192" i="1"/>
  <c r="L192" i="1"/>
  <c r="G192" i="1"/>
  <c r="H192" i="1"/>
  <c r="J192" i="1"/>
  <c r="K192" i="1"/>
  <c r="M192" i="1"/>
  <c r="D193" i="1"/>
  <c r="E194" i="1"/>
  <c r="AE194" i="1" s="1"/>
  <c r="AD194" i="1" s="1"/>
  <c r="Y193" i="1"/>
  <c r="T192" i="1"/>
  <c r="C194" i="1"/>
  <c r="AC194" i="1" s="1"/>
  <c r="AA193" i="1"/>
  <c r="Z193" i="1" s="1"/>
  <c r="N193" i="1" s="1"/>
  <c r="S192" i="1"/>
  <c r="U191" i="1"/>
  <c r="V191" i="1" s="1"/>
  <c r="W190" i="1"/>
  <c r="P190" i="1" s="1"/>
  <c r="AL192" i="1" l="1"/>
  <c r="AQ195" i="1"/>
  <c r="AI193" i="1"/>
  <c r="AH192" i="1"/>
  <c r="AG192" i="1"/>
  <c r="AN191" i="1"/>
  <c r="AP191" i="1" s="1"/>
  <c r="AK193" i="1"/>
  <c r="AM193" i="1"/>
  <c r="S193" i="1"/>
  <c r="M193" i="1" s="1"/>
  <c r="T193" i="1"/>
  <c r="Y194" i="1"/>
  <c r="E195" i="1"/>
  <c r="AE195" i="1" s="1"/>
  <c r="AD195" i="1" s="1"/>
  <c r="D194" i="1"/>
  <c r="L193" i="1"/>
  <c r="G193" i="1"/>
  <c r="K193" i="1"/>
  <c r="H193" i="1"/>
  <c r="J193" i="1"/>
  <c r="C195" i="1"/>
  <c r="AC195" i="1" s="1"/>
  <c r="AA194" i="1"/>
  <c r="Z194" i="1" s="1"/>
  <c r="N194" i="1" s="1"/>
  <c r="U192" i="1"/>
  <c r="V192" i="1" s="1"/>
  <c r="W191" i="1"/>
  <c r="P191" i="1" s="1"/>
  <c r="AG193" i="1" l="1"/>
  <c r="AN192" i="1"/>
  <c r="AP192" i="1" s="1"/>
  <c r="AH193" i="1"/>
  <c r="AM194" i="1"/>
  <c r="AK194" i="1"/>
  <c r="AL193" i="1"/>
  <c r="AQ196" i="1"/>
  <c r="AI194" i="1"/>
  <c r="H194" i="1"/>
  <c r="J194" i="1"/>
  <c r="K194" i="1"/>
  <c r="G194" i="1"/>
  <c r="S194" i="1"/>
  <c r="L194" i="1"/>
  <c r="M194" i="1"/>
  <c r="Z195" i="1"/>
  <c r="C196" i="1"/>
  <c r="AC196" i="1" s="1"/>
  <c r="AA195" i="1"/>
  <c r="T194" i="1"/>
  <c r="D195" i="1"/>
  <c r="E196" i="1"/>
  <c r="AE196" i="1" s="1"/>
  <c r="AD196" i="1" s="1"/>
  <c r="Y195" i="1"/>
  <c r="U193" i="1"/>
  <c r="V193" i="1" s="1"/>
  <c r="W192" i="1"/>
  <c r="P192" i="1" s="1"/>
  <c r="AL194" i="1" l="1"/>
  <c r="AQ197" i="1"/>
  <c r="S195" i="1"/>
  <c r="N195" i="1"/>
  <c r="AI195" i="1"/>
  <c r="AN193" i="1"/>
  <c r="AP193" i="1" s="1"/>
  <c r="AH194" i="1"/>
  <c r="AG194" i="1"/>
  <c r="AM195" i="1"/>
  <c r="AK195" i="1"/>
  <c r="C197" i="1"/>
  <c r="AC197" i="1" s="1"/>
  <c r="AA196" i="1"/>
  <c r="Z196" i="1" s="1"/>
  <c r="N196" i="1" s="1"/>
  <c r="H195" i="1"/>
  <c r="J195" i="1"/>
  <c r="K195" i="1"/>
  <c r="G195" i="1"/>
  <c r="L195" i="1"/>
  <c r="M195" i="1"/>
  <c r="T195" i="1"/>
  <c r="D196" i="1"/>
  <c r="Y196" i="1"/>
  <c r="E197" i="1"/>
  <c r="AE197" i="1" s="1"/>
  <c r="AD197" i="1" s="1"/>
  <c r="W193" i="1"/>
  <c r="P193" i="1" s="1"/>
  <c r="U194" i="1"/>
  <c r="V194" i="1" s="1"/>
  <c r="AL195" i="1" l="1"/>
  <c r="T196" i="1"/>
  <c r="L196" i="1" s="1"/>
  <c r="AN194" i="1"/>
  <c r="AP194" i="1" s="1"/>
  <c r="AH195" i="1"/>
  <c r="AG195" i="1"/>
  <c r="AK196" i="1"/>
  <c r="AM196" i="1"/>
  <c r="AI196" i="1"/>
  <c r="AQ198" i="1"/>
  <c r="Y197" i="1"/>
  <c r="E198" i="1"/>
  <c r="AE198" i="1" s="1"/>
  <c r="AD198" i="1" s="1"/>
  <c r="D197" i="1"/>
  <c r="S196" i="1"/>
  <c r="M196" i="1" s="1"/>
  <c r="G196" i="1"/>
  <c r="H196" i="1"/>
  <c r="J196" i="1"/>
  <c r="K196" i="1"/>
  <c r="AA197" i="1"/>
  <c r="Z197" i="1" s="1"/>
  <c r="N197" i="1" s="1"/>
  <c r="C198" i="1"/>
  <c r="AC198" i="1" s="1"/>
  <c r="W194" i="1"/>
  <c r="P194" i="1" s="1"/>
  <c r="U195" i="1"/>
  <c r="V195" i="1" s="1"/>
  <c r="AQ199" i="1" l="1"/>
  <c r="AI197" i="1"/>
  <c r="AH196" i="1"/>
  <c r="AG196" i="1"/>
  <c r="AN195" i="1"/>
  <c r="AP195" i="1" s="1"/>
  <c r="AK197" i="1"/>
  <c r="AM197" i="1"/>
  <c r="AL196" i="1"/>
  <c r="AL197" i="1" s="1"/>
  <c r="D198" i="1"/>
  <c r="E199" i="1"/>
  <c r="AE199" i="1" s="1"/>
  <c r="AD199" i="1" s="1"/>
  <c r="Y198" i="1"/>
  <c r="M197" i="1"/>
  <c r="G197" i="1"/>
  <c r="H197" i="1"/>
  <c r="J197" i="1"/>
  <c r="K197" i="1"/>
  <c r="T197" i="1"/>
  <c r="S197" i="1"/>
  <c r="L197" i="1"/>
  <c r="AA198" i="1"/>
  <c r="Z198" i="1" s="1"/>
  <c r="N198" i="1" s="1"/>
  <c r="C199" i="1"/>
  <c r="AC199" i="1" s="1"/>
  <c r="U196" i="1"/>
  <c r="V196" i="1" s="1"/>
  <c r="W195" i="1"/>
  <c r="P195" i="1" s="1"/>
  <c r="AN196" i="1" l="1"/>
  <c r="AP196" i="1" s="1"/>
  <c r="AG197" i="1"/>
  <c r="AH197" i="1"/>
  <c r="AM198" i="1"/>
  <c r="AI198" i="1"/>
  <c r="AK198" i="1"/>
  <c r="AQ200" i="1"/>
  <c r="H198" i="1"/>
  <c r="J198" i="1"/>
  <c r="K198" i="1"/>
  <c r="G198" i="1"/>
  <c r="M198" i="1"/>
  <c r="L198" i="1"/>
  <c r="S198" i="1"/>
  <c r="T198" i="1"/>
  <c r="D199" i="1"/>
  <c r="Y199" i="1"/>
  <c r="E200" i="1"/>
  <c r="AE200" i="1" s="1"/>
  <c r="AD200" i="1" s="1"/>
  <c r="C200" i="1"/>
  <c r="AC200" i="1" s="1"/>
  <c r="AA199" i="1"/>
  <c r="Z199" i="1" s="1"/>
  <c r="N199" i="1" s="1"/>
  <c r="U197" i="1"/>
  <c r="V197" i="1" s="1"/>
  <c r="W196" i="1"/>
  <c r="P196" i="1" s="1"/>
  <c r="AL198" i="1" l="1"/>
  <c r="AN197" i="1"/>
  <c r="AP197" i="1" s="1"/>
  <c r="AH198" i="1"/>
  <c r="AG198" i="1"/>
  <c r="AM199" i="1"/>
  <c r="AQ201" i="1"/>
  <c r="AI199" i="1"/>
  <c r="AK199" i="1"/>
  <c r="G199" i="1"/>
  <c r="H199" i="1"/>
  <c r="K199" i="1"/>
  <c r="J199" i="1"/>
  <c r="L199" i="1"/>
  <c r="S199" i="1"/>
  <c r="M199" i="1" s="1"/>
  <c r="D200" i="1"/>
  <c r="Y200" i="1"/>
  <c r="E201" i="1"/>
  <c r="AE201" i="1" s="1"/>
  <c r="AD201" i="1" s="1"/>
  <c r="AA200" i="1"/>
  <c r="C201" i="1"/>
  <c r="AC201" i="1" s="1"/>
  <c r="T199" i="1"/>
  <c r="Z200" i="1"/>
  <c r="U198" i="1"/>
  <c r="V198" i="1" s="1"/>
  <c r="W197" i="1"/>
  <c r="P197" i="1" s="1"/>
  <c r="S200" i="1" l="1"/>
  <c r="N200" i="1"/>
  <c r="AQ202" i="1"/>
  <c r="AM200" i="1"/>
  <c r="AI200" i="1"/>
  <c r="AK200" i="1"/>
  <c r="AH199" i="1"/>
  <c r="AN198" i="1"/>
  <c r="AP198" i="1" s="1"/>
  <c r="AG199" i="1"/>
  <c r="AL199" i="1"/>
  <c r="AL200" i="1" s="1"/>
  <c r="E202" i="1"/>
  <c r="AE202" i="1" s="1"/>
  <c r="AD202" i="1" s="1"/>
  <c r="Y201" i="1"/>
  <c r="D201" i="1"/>
  <c r="K200" i="1"/>
  <c r="G200" i="1"/>
  <c r="H200" i="1"/>
  <c r="J200" i="1"/>
  <c r="T200" i="1"/>
  <c r="C202" i="1"/>
  <c r="AC202" i="1" s="1"/>
  <c r="AA201" i="1"/>
  <c r="Z201" i="1" s="1"/>
  <c r="N201" i="1" s="1"/>
  <c r="M200" i="1"/>
  <c r="L200" i="1"/>
  <c r="U199" i="1"/>
  <c r="V199" i="1" s="1"/>
  <c r="W198" i="1"/>
  <c r="P198" i="1" s="1"/>
  <c r="AG200" i="1" l="1"/>
  <c r="AH200" i="1"/>
  <c r="AN199" i="1"/>
  <c r="AP199" i="1" s="1"/>
  <c r="AK201" i="1"/>
  <c r="AM201" i="1"/>
  <c r="AI201" i="1"/>
  <c r="AQ203" i="1"/>
  <c r="J201" i="1"/>
  <c r="K201" i="1"/>
  <c r="H201" i="1"/>
  <c r="G201" i="1"/>
  <c r="T201" i="1"/>
  <c r="D202" i="1"/>
  <c r="E203" i="1"/>
  <c r="AE203" i="1" s="1"/>
  <c r="AD203" i="1" s="1"/>
  <c r="Y202" i="1"/>
  <c r="L201" i="1"/>
  <c r="M201" i="1"/>
  <c r="AA202" i="1"/>
  <c r="Z202" i="1" s="1"/>
  <c r="N202" i="1" s="1"/>
  <c r="C203" i="1"/>
  <c r="AC203" i="1" s="1"/>
  <c r="S201" i="1"/>
  <c r="U200" i="1"/>
  <c r="V200" i="1" s="1"/>
  <c r="W199" i="1"/>
  <c r="P199" i="1" s="1"/>
  <c r="AQ204" i="1" l="1"/>
  <c r="AK202" i="1"/>
  <c r="AI202" i="1"/>
  <c r="AL201" i="1"/>
  <c r="AM202" i="1"/>
  <c r="AN200" i="1"/>
  <c r="AP200" i="1" s="1"/>
  <c r="AG201" i="1"/>
  <c r="AH201" i="1"/>
  <c r="S202" i="1"/>
  <c r="M202" i="1" s="1"/>
  <c r="C204" i="1"/>
  <c r="AC204" i="1" s="1"/>
  <c r="AA203" i="1"/>
  <c r="Z203" i="1" s="1"/>
  <c r="T202" i="1"/>
  <c r="L202" i="1"/>
  <c r="J202" i="1"/>
  <c r="K202" i="1"/>
  <c r="G202" i="1"/>
  <c r="H202" i="1"/>
  <c r="E204" i="1"/>
  <c r="AE204" i="1" s="1"/>
  <c r="AD204" i="1" s="1"/>
  <c r="D203" i="1"/>
  <c r="Y203" i="1"/>
  <c r="U201" i="1"/>
  <c r="V201" i="1" s="1"/>
  <c r="W200" i="1"/>
  <c r="P200" i="1" s="1"/>
  <c r="S203" i="1" l="1"/>
  <c r="N203" i="1"/>
  <c r="AH202" i="1"/>
  <c r="AN201" i="1"/>
  <c r="AP201" i="1" s="1"/>
  <c r="AG202" i="1"/>
  <c r="AM203" i="1"/>
  <c r="AL202" i="1"/>
  <c r="AL203" i="1" s="1"/>
  <c r="AQ205" i="1"/>
  <c r="AI203" i="1"/>
  <c r="AK203" i="1"/>
  <c r="T203" i="1"/>
  <c r="M203" i="1"/>
  <c r="Y204" i="1"/>
  <c r="D204" i="1"/>
  <c r="E205" i="1"/>
  <c r="AE205" i="1" s="1"/>
  <c r="AD205" i="1" s="1"/>
  <c r="J203" i="1"/>
  <c r="K203" i="1"/>
  <c r="G203" i="1"/>
  <c r="H203" i="1"/>
  <c r="L203" i="1"/>
  <c r="AA204" i="1"/>
  <c r="Z204" i="1" s="1"/>
  <c r="AM204" i="1" s="1"/>
  <c r="C205" i="1"/>
  <c r="AC205" i="1" s="1"/>
  <c r="U202" i="1"/>
  <c r="V202" i="1" s="1"/>
  <c r="W201" i="1"/>
  <c r="P201" i="1" s="1"/>
  <c r="AG203" i="1" l="1"/>
  <c r="AN202" i="1"/>
  <c r="AP202" i="1" s="1"/>
  <c r="AH203" i="1"/>
  <c r="M204" i="1"/>
  <c r="N204" i="1"/>
  <c r="AK204" i="1"/>
  <c r="AQ206" i="1"/>
  <c r="AI204" i="1"/>
  <c r="L204" i="1"/>
  <c r="K204" i="1"/>
  <c r="G204" i="1"/>
  <c r="H204" i="1"/>
  <c r="J204" i="1"/>
  <c r="T204" i="1"/>
  <c r="D205" i="1"/>
  <c r="Y205" i="1"/>
  <c r="E206" i="1"/>
  <c r="AE206" i="1" s="1"/>
  <c r="AD206" i="1" s="1"/>
  <c r="C206" i="1"/>
  <c r="AC206" i="1" s="1"/>
  <c r="AA205" i="1"/>
  <c r="Z205" i="1" s="1"/>
  <c r="N205" i="1" s="1"/>
  <c r="S204" i="1"/>
  <c r="W202" i="1"/>
  <c r="P202" i="1" s="1"/>
  <c r="U203" i="1"/>
  <c r="V203" i="1" s="1"/>
  <c r="AK205" i="1" l="1"/>
  <c r="AH204" i="1"/>
  <c r="AG204" i="1"/>
  <c r="AN203" i="1"/>
  <c r="AP203" i="1" s="1"/>
  <c r="AM205" i="1"/>
  <c r="AI205" i="1"/>
  <c r="AQ207" i="1"/>
  <c r="AL204" i="1"/>
  <c r="S205" i="1"/>
  <c r="M205" i="1" s="1"/>
  <c r="J205" i="1"/>
  <c r="H205" i="1"/>
  <c r="K205" i="1"/>
  <c r="G205" i="1"/>
  <c r="L205" i="1"/>
  <c r="E207" i="1"/>
  <c r="AE207" i="1" s="1"/>
  <c r="AD207" i="1" s="1"/>
  <c r="D206" i="1"/>
  <c r="Y206" i="1"/>
  <c r="T205" i="1"/>
  <c r="C207" i="1"/>
  <c r="AC207" i="1" s="1"/>
  <c r="AA206" i="1"/>
  <c r="Z206" i="1" s="1"/>
  <c r="U204" i="1"/>
  <c r="V204" i="1" s="1"/>
  <c r="W203" i="1"/>
  <c r="P203" i="1" s="1"/>
  <c r="AL205" i="1" l="1"/>
  <c r="AQ208" i="1"/>
  <c r="S206" i="1"/>
  <c r="N206" i="1"/>
  <c r="AI206" i="1"/>
  <c r="AG205" i="1"/>
  <c r="AH205" i="1"/>
  <c r="AN204" i="1"/>
  <c r="AP204" i="1" s="1"/>
  <c r="AK206" i="1"/>
  <c r="AM206" i="1"/>
  <c r="M206" i="1"/>
  <c r="AA207" i="1"/>
  <c r="Z207" i="1" s="1"/>
  <c r="AM207" i="1" s="1"/>
  <c r="C208" i="1"/>
  <c r="AC208" i="1" s="1"/>
  <c r="T206" i="1"/>
  <c r="K206" i="1"/>
  <c r="G206" i="1"/>
  <c r="H206" i="1"/>
  <c r="J206" i="1"/>
  <c r="Y207" i="1"/>
  <c r="E208" i="1"/>
  <c r="AE208" i="1" s="1"/>
  <c r="AD208" i="1" s="1"/>
  <c r="D207" i="1"/>
  <c r="L206" i="1"/>
  <c r="W204" i="1"/>
  <c r="P204" i="1" s="1"/>
  <c r="U205" i="1"/>
  <c r="V205" i="1" s="1"/>
  <c r="AL206" i="1" l="1"/>
  <c r="AG206" i="1"/>
  <c r="AH206" i="1"/>
  <c r="AN205" i="1"/>
  <c r="AP205" i="1" s="1"/>
  <c r="M207" i="1"/>
  <c r="N207" i="1"/>
  <c r="AQ209" i="1"/>
  <c r="AI207" i="1"/>
  <c r="AK207" i="1"/>
  <c r="T207" i="1"/>
  <c r="Y208" i="1"/>
  <c r="D208" i="1"/>
  <c r="E209" i="1"/>
  <c r="AE209" i="1" s="1"/>
  <c r="AD209" i="1" s="1"/>
  <c r="L207" i="1"/>
  <c r="AA208" i="1"/>
  <c r="Z208" i="1" s="1"/>
  <c r="N208" i="1" s="1"/>
  <c r="C209" i="1"/>
  <c r="AC209" i="1" s="1"/>
  <c r="J207" i="1"/>
  <c r="H207" i="1"/>
  <c r="K207" i="1"/>
  <c r="G207" i="1"/>
  <c r="S207" i="1"/>
  <c r="U206" i="1"/>
  <c r="V206" i="1" s="1"/>
  <c r="W205" i="1"/>
  <c r="P205" i="1" s="1"/>
  <c r="AM208" i="1" l="1"/>
  <c r="AK208" i="1"/>
  <c r="AQ210" i="1"/>
  <c r="AI208" i="1"/>
  <c r="AG207" i="1"/>
  <c r="AN206" i="1"/>
  <c r="AP206" i="1" s="1"/>
  <c r="AH207" i="1"/>
  <c r="AL207" i="1"/>
  <c r="C210" i="1"/>
  <c r="AC210" i="1" s="1"/>
  <c r="AA209" i="1"/>
  <c r="Z209" i="1" s="1"/>
  <c r="N209" i="1" s="1"/>
  <c r="G208" i="1"/>
  <c r="H208" i="1"/>
  <c r="J208" i="1"/>
  <c r="K208" i="1"/>
  <c r="T208" i="1"/>
  <c r="Y209" i="1"/>
  <c r="D209" i="1"/>
  <c r="E210" i="1"/>
  <c r="AE210" i="1" s="1"/>
  <c r="AD210" i="1" s="1"/>
  <c r="U207" i="1"/>
  <c r="V207" i="1" s="1"/>
  <c r="W206" i="1"/>
  <c r="P206" i="1" s="1"/>
  <c r="AQ211" i="1" l="1"/>
  <c r="AG208" i="1"/>
  <c r="AH208" i="1"/>
  <c r="AN207" i="1"/>
  <c r="AP207" i="1" s="1"/>
  <c r="AM209" i="1"/>
  <c r="AI209" i="1"/>
  <c r="AK209" i="1"/>
  <c r="K209" i="1"/>
  <c r="H209" i="1"/>
  <c r="J209" i="1"/>
  <c r="L209" i="1"/>
  <c r="G209" i="1"/>
  <c r="M209" i="1"/>
  <c r="D210" i="1"/>
  <c r="Y210" i="1"/>
  <c r="E211" i="1"/>
  <c r="AE211" i="1" s="1"/>
  <c r="AD211" i="1" s="1"/>
  <c r="T209" i="1"/>
  <c r="L208" i="1"/>
  <c r="S208" i="1"/>
  <c r="AA210" i="1"/>
  <c r="Z210" i="1" s="1"/>
  <c r="N210" i="1" s="1"/>
  <c r="C211" i="1"/>
  <c r="AC211" i="1" s="1"/>
  <c r="U208" i="1"/>
  <c r="V208" i="1" s="1"/>
  <c r="W207" i="1"/>
  <c r="P207" i="1" s="1"/>
  <c r="AM210" i="1" l="1"/>
  <c r="AK210" i="1"/>
  <c r="AI210" i="1"/>
  <c r="AL208" i="1"/>
  <c r="AN208" i="1"/>
  <c r="AH209" i="1"/>
  <c r="AG209" i="1"/>
  <c r="AQ212" i="1"/>
  <c r="AA211" i="1"/>
  <c r="Z211" i="1" s="1"/>
  <c r="N211" i="1" s="1"/>
  <c r="C212" i="1"/>
  <c r="AC212" i="1" s="1"/>
  <c r="L210" i="1"/>
  <c r="G210" i="1"/>
  <c r="H210" i="1"/>
  <c r="K210" i="1"/>
  <c r="J210" i="1"/>
  <c r="T210" i="1"/>
  <c r="M208" i="1"/>
  <c r="S209" i="1"/>
  <c r="S210" i="1" s="1"/>
  <c r="Y211" i="1"/>
  <c r="E212" i="1"/>
  <c r="AE212" i="1" s="1"/>
  <c r="AD212" i="1" s="1"/>
  <c r="D211" i="1"/>
  <c r="M210" i="1"/>
  <c r="U209" i="1"/>
  <c r="V209" i="1" s="1"/>
  <c r="W208" i="1"/>
  <c r="AI211" i="1" l="1"/>
  <c r="AK211" i="1"/>
  <c r="AM211" i="1"/>
  <c r="S211" i="1"/>
  <c r="AQ213" i="1"/>
  <c r="AP208" i="1"/>
  <c r="AL209" i="1"/>
  <c r="AL210" i="1" s="1"/>
  <c r="AH210" i="1"/>
  <c r="AN209" i="1"/>
  <c r="AG210" i="1"/>
  <c r="M211" i="1"/>
  <c r="G211" i="1"/>
  <c r="H211" i="1"/>
  <c r="J211" i="1"/>
  <c r="K211" i="1"/>
  <c r="L211" i="1"/>
  <c r="E213" i="1"/>
  <c r="AE213" i="1" s="1"/>
  <c r="AD213" i="1" s="1"/>
  <c r="Y212" i="1"/>
  <c r="D212" i="1"/>
  <c r="AA212" i="1"/>
  <c r="Z212" i="1" s="1"/>
  <c r="C213" i="1"/>
  <c r="AC213" i="1" s="1"/>
  <c r="T211" i="1"/>
  <c r="P208" i="1"/>
  <c r="U210" i="1"/>
  <c r="V210" i="1" s="1"/>
  <c r="W209" i="1"/>
  <c r="P209" i="1" s="1"/>
  <c r="AP209" i="1" l="1"/>
  <c r="L212" i="1"/>
  <c r="N212" i="1"/>
  <c r="AH211" i="1"/>
  <c r="AG211" i="1"/>
  <c r="AN210" i="1"/>
  <c r="AP210" i="1" s="1"/>
  <c r="AM212" i="1"/>
  <c r="AK212" i="1"/>
  <c r="AI212" i="1"/>
  <c r="AL211" i="1"/>
  <c r="AQ214" i="1"/>
  <c r="AA213" i="1"/>
  <c r="Z213" i="1" s="1"/>
  <c r="N213" i="1" s="1"/>
  <c r="C214" i="1"/>
  <c r="AC214" i="1" s="1"/>
  <c r="G212" i="1"/>
  <c r="H212" i="1"/>
  <c r="J212" i="1"/>
  <c r="K212" i="1"/>
  <c r="M212" i="1"/>
  <c r="E214" i="1"/>
  <c r="AE214" i="1" s="1"/>
  <c r="AD214" i="1" s="1"/>
  <c r="Y213" i="1"/>
  <c r="D213" i="1"/>
  <c r="T212" i="1"/>
  <c r="S212" i="1"/>
  <c r="W210" i="1"/>
  <c r="P210" i="1" s="1"/>
  <c r="U211" i="1"/>
  <c r="V211" i="1" s="1"/>
  <c r="AL212" i="1" l="1"/>
  <c r="AI213" i="1"/>
  <c r="AM213" i="1"/>
  <c r="S213" i="1"/>
  <c r="AQ215" i="1"/>
  <c r="AK213" i="1"/>
  <c r="AH212" i="1"/>
  <c r="AG212" i="1"/>
  <c r="AN211" i="1"/>
  <c r="AP211" i="1" s="1"/>
  <c r="G213" i="1"/>
  <c r="H213" i="1"/>
  <c r="J213" i="1"/>
  <c r="K213" i="1"/>
  <c r="M213" i="1"/>
  <c r="L213" i="1"/>
  <c r="Y214" i="1"/>
  <c r="D214" i="1"/>
  <c r="E215" i="1"/>
  <c r="AE215" i="1" s="1"/>
  <c r="AD215" i="1" s="1"/>
  <c r="AA214" i="1"/>
  <c r="Z214" i="1" s="1"/>
  <c r="N214" i="1" s="1"/>
  <c r="C215" i="1"/>
  <c r="AC215" i="1" s="1"/>
  <c r="T213" i="1"/>
  <c r="U212" i="1"/>
  <c r="V212" i="1" s="1"/>
  <c r="W211" i="1"/>
  <c r="P211" i="1" s="1"/>
  <c r="AH213" i="1" l="1"/>
  <c r="AG213" i="1"/>
  <c r="AN212" i="1"/>
  <c r="AP212" i="1" s="1"/>
  <c r="AL213" i="1"/>
  <c r="AI214" i="1"/>
  <c r="AM214" i="1"/>
  <c r="AK214" i="1"/>
  <c r="AQ216" i="1"/>
  <c r="Y215" i="1"/>
  <c r="D215" i="1"/>
  <c r="E216" i="1"/>
  <c r="AE216" i="1" s="1"/>
  <c r="AD216" i="1" s="1"/>
  <c r="L214" i="1"/>
  <c r="J214" i="1"/>
  <c r="G214" i="1"/>
  <c r="K214" i="1"/>
  <c r="H214" i="1"/>
  <c r="T214" i="1"/>
  <c r="AA215" i="1"/>
  <c r="Z215" i="1" s="1"/>
  <c r="N215" i="1" s="1"/>
  <c r="C216" i="1"/>
  <c r="AC216" i="1" s="1"/>
  <c r="S214" i="1"/>
  <c r="M214" i="1" s="1"/>
  <c r="U213" i="1"/>
  <c r="V213" i="1" s="1"/>
  <c r="W212" i="1"/>
  <c r="P212" i="1" s="1"/>
  <c r="AQ217" i="1" l="1"/>
  <c r="AM215" i="1"/>
  <c r="AL214" i="1"/>
  <c r="AK215" i="1"/>
  <c r="AI215" i="1"/>
  <c r="AH214" i="1"/>
  <c r="AG214" i="1"/>
  <c r="AN213" i="1"/>
  <c r="AP213" i="1" s="1"/>
  <c r="J215" i="1"/>
  <c r="K215" i="1"/>
  <c r="H215" i="1"/>
  <c r="G215" i="1"/>
  <c r="L215" i="1"/>
  <c r="S215" i="1"/>
  <c r="M215" i="1"/>
  <c r="C217" i="1"/>
  <c r="AC217" i="1" s="1"/>
  <c r="AA216" i="1"/>
  <c r="Z216" i="1" s="1"/>
  <c r="Y216" i="1"/>
  <c r="D216" i="1"/>
  <c r="E217" i="1"/>
  <c r="AE217" i="1" s="1"/>
  <c r="AD217" i="1" s="1"/>
  <c r="T215" i="1"/>
  <c r="U214" i="1"/>
  <c r="V214" i="1" s="1"/>
  <c r="W213" i="1"/>
  <c r="P213" i="1" s="1"/>
  <c r="S216" i="1" l="1"/>
  <c r="N216" i="1"/>
  <c r="AL215" i="1"/>
  <c r="AK216" i="1"/>
  <c r="AG215" i="1"/>
  <c r="AN214" i="1"/>
  <c r="AP214" i="1" s="1"/>
  <c r="AH215" i="1"/>
  <c r="AM216" i="1"/>
  <c r="AI216" i="1"/>
  <c r="AQ218" i="1"/>
  <c r="Y217" i="1"/>
  <c r="E218" i="1"/>
  <c r="AE218" i="1" s="1"/>
  <c r="AD218" i="1" s="1"/>
  <c r="D217" i="1"/>
  <c r="C218" i="1"/>
  <c r="AC218" i="1" s="1"/>
  <c r="AA217" i="1"/>
  <c r="Z217" i="1" s="1"/>
  <c r="J216" i="1"/>
  <c r="G216" i="1"/>
  <c r="H216" i="1"/>
  <c r="K216" i="1"/>
  <c r="L216" i="1"/>
  <c r="M216" i="1"/>
  <c r="T216" i="1"/>
  <c r="U215" i="1"/>
  <c r="V215" i="1" s="1"/>
  <c r="W214" i="1"/>
  <c r="P214" i="1" s="1"/>
  <c r="AL216" i="1" l="1"/>
  <c r="S217" i="1"/>
  <c r="M217" i="1" s="1"/>
  <c r="N217" i="1"/>
  <c r="AQ219" i="1"/>
  <c r="AM217" i="1"/>
  <c r="AI217" i="1"/>
  <c r="AG216" i="1"/>
  <c r="AH216" i="1"/>
  <c r="AN215" i="1"/>
  <c r="AP215" i="1" s="1"/>
  <c r="AK217" i="1"/>
  <c r="C219" i="1"/>
  <c r="AC219" i="1" s="1"/>
  <c r="AA218" i="1"/>
  <c r="Z218" i="1" s="1"/>
  <c r="N218" i="1" s="1"/>
  <c r="Y218" i="1"/>
  <c r="D218" i="1"/>
  <c r="E219" i="1"/>
  <c r="AE219" i="1" s="1"/>
  <c r="AD219" i="1" s="1"/>
  <c r="K217" i="1"/>
  <c r="L217" i="1"/>
  <c r="G217" i="1"/>
  <c r="H217" i="1"/>
  <c r="J217" i="1"/>
  <c r="T217" i="1"/>
  <c r="U216" i="1"/>
  <c r="V216" i="1" s="1"/>
  <c r="W215" i="1"/>
  <c r="P215" i="1" s="1"/>
  <c r="T218" i="1" l="1"/>
  <c r="AL217" i="1"/>
  <c r="AG217" i="1"/>
  <c r="AN216" i="1"/>
  <c r="AP216" i="1" s="1"/>
  <c r="AH217" i="1"/>
  <c r="AQ220" i="1"/>
  <c r="AK218" i="1"/>
  <c r="AM218" i="1"/>
  <c r="AI218" i="1"/>
  <c r="E220" i="1"/>
  <c r="AE220" i="1" s="1"/>
  <c r="AD220" i="1" s="1"/>
  <c r="D219" i="1"/>
  <c r="Y219" i="1"/>
  <c r="H218" i="1"/>
  <c r="J218" i="1"/>
  <c r="L218" i="1"/>
  <c r="G218" i="1"/>
  <c r="K218" i="1"/>
  <c r="M218" i="1"/>
  <c r="S218" i="1"/>
  <c r="AA219" i="1"/>
  <c r="Z219" i="1" s="1"/>
  <c r="N219" i="1" s="1"/>
  <c r="C220" i="1"/>
  <c r="AC220" i="1" s="1"/>
  <c r="U217" i="1"/>
  <c r="V217" i="1" s="1"/>
  <c r="W216" i="1"/>
  <c r="P216" i="1" s="1"/>
  <c r="AI219" i="1" l="1"/>
  <c r="AM219" i="1"/>
  <c r="AQ221" i="1"/>
  <c r="AG218" i="1"/>
  <c r="AH218" i="1"/>
  <c r="AN217" i="1"/>
  <c r="AP217" i="1" s="1"/>
  <c r="AK219" i="1"/>
  <c r="AL218" i="1"/>
  <c r="H219" i="1"/>
  <c r="J219" i="1"/>
  <c r="K219" i="1"/>
  <c r="G219" i="1"/>
  <c r="M219" i="1"/>
  <c r="L219" i="1"/>
  <c r="S219" i="1"/>
  <c r="C221" i="1"/>
  <c r="AC221" i="1" s="1"/>
  <c r="AA220" i="1"/>
  <c r="Z220" i="1" s="1"/>
  <c r="N220" i="1" s="1"/>
  <c r="D220" i="1"/>
  <c r="Y220" i="1"/>
  <c r="E221" i="1"/>
  <c r="AE221" i="1" s="1"/>
  <c r="AD221" i="1" s="1"/>
  <c r="T219" i="1"/>
  <c r="W217" i="1"/>
  <c r="P217" i="1" s="1"/>
  <c r="U218" i="1"/>
  <c r="V218" i="1" s="1"/>
  <c r="AL219" i="1" l="1"/>
  <c r="AG219" i="1"/>
  <c r="AH219" i="1"/>
  <c r="AN218" i="1"/>
  <c r="AP218" i="1" s="1"/>
  <c r="AM220" i="1"/>
  <c r="AQ222" i="1"/>
  <c r="AK220" i="1"/>
  <c r="AI220" i="1"/>
  <c r="T220" i="1"/>
  <c r="AA221" i="1"/>
  <c r="Z221" i="1" s="1"/>
  <c r="N221" i="1" s="1"/>
  <c r="C222" i="1"/>
  <c r="AC222" i="1" s="1"/>
  <c r="J220" i="1"/>
  <c r="K220" i="1"/>
  <c r="G220" i="1"/>
  <c r="H220" i="1"/>
  <c r="E222" i="1"/>
  <c r="AE222" i="1" s="1"/>
  <c r="AD222" i="1" s="1"/>
  <c r="D221" i="1"/>
  <c r="Y221" i="1"/>
  <c r="U219" i="1"/>
  <c r="V219" i="1" s="1"/>
  <c r="W218" i="1"/>
  <c r="P218" i="1" s="1"/>
  <c r="AI221" i="1" l="1"/>
  <c r="AL220" i="1"/>
  <c r="AK221" i="1"/>
  <c r="AM221" i="1"/>
  <c r="AQ223" i="1"/>
  <c r="AN219" i="1"/>
  <c r="AP219" i="1" s="1"/>
  <c r="AH220" i="1"/>
  <c r="AG220" i="1"/>
  <c r="L221" i="1"/>
  <c r="H221" i="1"/>
  <c r="K221" i="1"/>
  <c r="J221" i="1"/>
  <c r="G221" i="1"/>
  <c r="M221" i="1"/>
  <c r="T221" i="1"/>
  <c r="L220" i="1"/>
  <c r="S220" i="1"/>
  <c r="Y222" i="1"/>
  <c r="E223" i="1"/>
  <c r="AE223" i="1" s="1"/>
  <c r="AD223" i="1" s="1"/>
  <c r="D222" i="1"/>
  <c r="AA222" i="1"/>
  <c r="Z222" i="1" s="1"/>
  <c r="AM222" i="1" s="1"/>
  <c r="C223" i="1"/>
  <c r="AC223" i="1" s="1"/>
  <c r="U220" i="1"/>
  <c r="V220" i="1" s="1"/>
  <c r="W219" i="1"/>
  <c r="P219" i="1" s="1"/>
  <c r="AN220" i="1" l="1"/>
  <c r="AP220" i="1" s="1"/>
  <c r="AH221" i="1"/>
  <c r="AG221" i="1"/>
  <c r="N222" i="1"/>
  <c r="AL221" i="1"/>
  <c r="AK222" i="1"/>
  <c r="AI222" i="1"/>
  <c r="AQ224" i="1"/>
  <c r="H222" i="1"/>
  <c r="J222" i="1"/>
  <c r="K222" i="1"/>
  <c r="G222" i="1"/>
  <c r="M222" i="1"/>
  <c r="L222" i="1"/>
  <c r="M220" i="1"/>
  <c r="S221" i="1"/>
  <c r="S222" i="1" s="1"/>
  <c r="D223" i="1"/>
  <c r="E224" i="1"/>
  <c r="AE224" i="1" s="1"/>
  <c r="AD224" i="1" s="1"/>
  <c r="Y223" i="1"/>
  <c r="T222" i="1"/>
  <c r="AA223" i="1"/>
  <c r="Z223" i="1" s="1"/>
  <c r="N223" i="1" s="1"/>
  <c r="C224" i="1"/>
  <c r="AC224" i="1" s="1"/>
  <c r="U221" i="1"/>
  <c r="V221" i="1" s="1"/>
  <c r="W220" i="1"/>
  <c r="AQ225" i="1" l="1"/>
  <c r="AI223" i="1"/>
  <c r="AK223" i="1"/>
  <c r="AL222" i="1"/>
  <c r="AL223" i="1" s="1"/>
  <c r="AM223" i="1"/>
  <c r="AG222" i="1"/>
  <c r="AH222" i="1"/>
  <c r="AN221" i="1"/>
  <c r="AP221" i="1" s="1"/>
  <c r="G223" i="1"/>
  <c r="H223" i="1"/>
  <c r="J223" i="1"/>
  <c r="K223" i="1"/>
  <c r="S223" i="1"/>
  <c r="M223" i="1" s="1"/>
  <c r="T223" i="1"/>
  <c r="P220" i="1"/>
  <c r="C225" i="1"/>
  <c r="AC225" i="1" s="1"/>
  <c r="AA224" i="1"/>
  <c r="Z224" i="1" s="1"/>
  <c r="N224" i="1" s="1"/>
  <c r="Y224" i="1"/>
  <c r="D224" i="1"/>
  <c r="E225" i="1"/>
  <c r="AE225" i="1" s="1"/>
  <c r="AD225" i="1" s="1"/>
  <c r="L223" i="1"/>
  <c r="W221" i="1"/>
  <c r="P221" i="1" s="1"/>
  <c r="U222" i="1"/>
  <c r="V222" i="1" s="1"/>
  <c r="AH223" i="1" l="1"/>
  <c r="AG223" i="1"/>
  <c r="AN222" i="1"/>
  <c r="AP222" i="1" s="1"/>
  <c r="AM224" i="1"/>
  <c r="AK224" i="1"/>
  <c r="AI224" i="1"/>
  <c r="AQ226" i="1"/>
  <c r="AL224" i="1"/>
  <c r="H224" i="1"/>
  <c r="J224" i="1"/>
  <c r="K224" i="1"/>
  <c r="G224" i="1"/>
  <c r="L224" i="1"/>
  <c r="M224" i="1"/>
  <c r="S224" i="1"/>
  <c r="E226" i="1"/>
  <c r="AE226" i="1" s="1"/>
  <c r="AD226" i="1" s="1"/>
  <c r="Y225" i="1"/>
  <c r="D225" i="1"/>
  <c r="AA225" i="1"/>
  <c r="Z225" i="1" s="1"/>
  <c r="C226" i="1"/>
  <c r="AC226" i="1" s="1"/>
  <c r="T224" i="1"/>
  <c r="U223" i="1"/>
  <c r="V223" i="1" s="1"/>
  <c r="W222" i="1"/>
  <c r="P222" i="1" s="1"/>
  <c r="M225" i="1" l="1"/>
  <c r="N225" i="1"/>
  <c r="AQ227" i="1"/>
  <c r="AK225" i="1"/>
  <c r="AM225" i="1"/>
  <c r="AH224" i="1"/>
  <c r="AN223" i="1"/>
  <c r="AP223" i="1" s="1"/>
  <c r="AG224" i="1"/>
  <c r="AI225" i="1"/>
  <c r="T225" i="1"/>
  <c r="Z226" i="1"/>
  <c r="AI226" i="1" s="1"/>
  <c r="AA226" i="1"/>
  <c r="C227" i="1"/>
  <c r="AC227" i="1" s="1"/>
  <c r="E227" i="1"/>
  <c r="AE227" i="1" s="1"/>
  <c r="AD227" i="1" s="1"/>
  <c r="D226" i="1"/>
  <c r="Y226" i="1"/>
  <c r="L225" i="1"/>
  <c r="H225" i="1"/>
  <c r="G225" i="1"/>
  <c r="J225" i="1"/>
  <c r="K225" i="1"/>
  <c r="S225" i="1"/>
  <c r="W223" i="1"/>
  <c r="P223" i="1" s="1"/>
  <c r="U224" i="1"/>
  <c r="V224" i="1" s="1"/>
  <c r="S226" i="1" l="1"/>
  <c r="AH225" i="1"/>
  <c r="AN224" i="1"/>
  <c r="AP224" i="1" s="1"/>
  <c r="AG225" i="1"/>
  <c r="AK226" i="1"/>
  <c r="AM226" i="1"/>
  <c r="AQ228" i="1"/>
  <c r="L226" i="1"/>
  <c r="N226" i="1"/>
  <c r="AL225" i="1"/>
  <c r="AL226" i="1" s="1"/>
  <c r="M226" i="1"/>
  <c r="Y227" i="1"/>
  <c r="D227" i="1"/>
  <c r="E228" i="1"/>
  <c r="AE228" i="1" s="1"/>
  <c r="AD228" i="1" s="1"/>
  <c r="H226" i="1"/>
  <c r="K226" i="1"/>
  <c r="G226" i="1"/>
  <c r="J226" i="1"/>
  <c r="AA227" i="1"/>
  <c r="Z227" i="1" s="1"/>
  <c r="C228" i="1"/>
  <c r="AC228" i="1" s="1"/>
  <c r="T226" i="1"/>
  <c r="U225" i="1"/>
  <c r="V225" i="1" s="1"/>
  <c r="W224" i="1"/>
  <c r="P224" i="1" s="1"/>
  <c r="M227" i="1" l="1"/>
  <c r="N227" i="1"/>
  <c r="AM227" i="1"/>
  <c r="AQ229" i="1"/>
  <c r="AK227" i="1"/>
  <c r="AI227" i="1"/>
  <c r="AH226" i="1"/>
  <c r="AN225" i="1"/>
  <c r="AP225" i="1" s="1"/>
  <c r="AG226" i="1"/>
  <c r="L227" i="1"/>
  <c r="AA228" i="1"/>
  <c r="Z228" i="1" s="1"/>
  <c r="AM228" i="1" s="1"/>
  <c r="C229" i="1"/>
  <c r="AC229" i="1" s="1"/>
  <c r="E229" i="1"/>
  <c r="AE229" i="1" s="1"/>
  <c r="AD229" i="1" s="1"/>
  <c r="D228" i="1"/>
  <c r="Y228" i="1"/>
  <c r="T227" i="1"/>
  <c r="G227" i="1"/>
  <c r="J227" i="1"/>
  <c r="H227" i="1"/>
  <c r="K227" i="1"/>
  <c r="S227" i="1"/>
  <c r="W225" i="1"/>
  <c r="P225" i="1" s="1"/>
  <c r="U226" i="1"/>
  <c r="V226" i="1" s="1"/>
  <c r="S228" i="1" l="1"/>
  <c r="T228" i="1"/>
  <c r="AL227" i="1"/>
  <c r="AQ230" i="1"/>
  <c r="AH227" i="1"/>
  <c r="AN226" i="1"/>
  <c r="AP226" i="1" s="1"/>
  <c r="AG227" i="1"/>
  <c r="L228" i="1"/>
  <c r="N228" i="1"/>
  <c r="AK228" i="1"/>
  <c r="AI228" i="1"/>
  <c r="D229" i="1"/>
  <c r="E230" i="1"/>
  <c r="AE230" i="1" s="1"/>
  <c r="AD230" i="1" s="1"/>
  <c r="Y229" i="1"/>
  <c r="C230" i="1"/>
  <c r="AC230" i="1" s="1"/>
  <c r="AA229" i="1"/>
  <c r="Z229" i="1" s="1"/>
  <c r="AM229" i="1" s="1"/>
  <c r="M228" i="1"/>
  <c r="G228" i="1"/>
  <c r="J228" i="1"/>
  <c r="H228" i="1"/>
  <c r="K228" i="1"/>
  <c r="U227" i="1"/>
  <c r="V227" i="1" s="1"/>
  <c r="W226" i="1"/>
  <c r="P226" i="1" s="1"/>
  <c r="AN227" i="1" l="1"/>
  <c r="AP227" i="1" s="1"/>
  <c r="AH228" i="1"/>
  <c r="AG228" i="1"/>
  <c r="AK229" i="1"/>
  <c r="AQ231" i="1"/>
  <c r="L229" i="1"/>
  <c r="N229" i="1"/>
  <c r="AI229" i="1"/>
  <c r="AL228" i="1"/>
  <c r="AL229" i="1" s="1"/>
  <c r="J229" i="1"/>
  <c r="K229" i="1"/>
  <c r="G229" i="1"/>
  <c r="H229" i="1"/>
  <c r="T229" i="1"/>
  <c r="Y230" i="1"/>
  <c r="D230" i="1"/>
  <c r="E231" i="1"/>
  <c r="AE231" i="1" s="1"/>
  <c r="AD231" i="1" s="1"/>
  <c r="S229" i="1"/>
  <c r="M229" i="1" s="1"/>
  <c r="AA230" i="1"/>
  <c r="Z230" i="1" s="1"/>
  <c r="AM230" i="1" s="1"/>
  <c r="C231" i="1"/>
  <c r="AC231" i="1" s="1"/>
  <c r="U228" i="1"/>
  <c r="V228" i="1" s="1"/>
  <c r="W227" i="1"/>
  <c r="P227" i="1" s="1"/>
  <c r="M230" i="1" l="1"/>
  <c r="N230" i="1"/>
  <c r="AN228" i="1"/>
  <c r="AP228" i="1" s="1"/>
  <c r="AG229" i="1"/>
  <c r="AH229" i="1"/>
  <c r="AK230" i="1"/>
  <c r="AI230" i="1"/>
  <c r="AQ232" i="1"/>
  <c r="Y231" i="1"/>
  <c r="E232" i="1"/>
  <c r="AE232" i="1" s="1"/>
  <c r="AD232" i="1" s="1"/>
  <c r="D231" i="1"/>
  <c r="H230" i="1"/>
  <c r="J230" i="1"/>
  <c r="G230" i="1"/>
  <c r="K230" i="1"/>
  <c r="S230" i="1"/>
  <c r="AA231" i="1"/>
  <c r="Z231" i="1" s="1"/>
  <c r="C232" i="1"/>
  <c r="AC232" i="1" s="1"/>
  <c r="T230" i="1"/>
  <c r="L230" i="1"/>
  <c r="U229" i="1"/>
  <c r="V229" i="1" s="1"/>
  <c r="W228" i="1"/>
  <c r="P228" i="1" s="1"/>
  <c r="AG230" i="1" l="1"/>
  <c r="AN229" i="1"/>
  <c r="AP229" i="1" s="1"/>
  <c r="AH230" i="1"/>
  <c r="M231" i="1"/>
  <c r="N231" i="1"/>
  <c r="AK231" i="1"/>
  <c r="AI231" i="1"/>
  <c r="AQ233" i="1"/>
  <c r="AM231" i="1"/>
  <c r="AL230" i="1"/>
  <c r="T231" i="1"/>
  <c r="S231" i="1"/>
  <c r="C233" i="1"/>
  <c r="AC233" i="1" s="1"/>
  <c r="AA232" i="1"/>
  <c r="Z232" i="1" s="1"/>
  <c r="N232" i="1" s="1"/>
  <c r="E233" i="1"/>
  <c r="AE233" i="1" s="1"/>
  <c r="AD233" i="1" s="1"/>
  <c r="Y232" i="1"/>
  <c r="D232" i="1"/>
  <c r="L231" i="1"/>
  <c r="G231" i="1"/>
  <c r="H231" i="1"/>
  <c r="K231" i="1"/>
  <c r="J231" i="1"/>
  <c r="U230" i="1"/>
  <c r="V230" i="1" s="1"/>
  <c r="W229" i="1"/>
  <c r="P229" i="1" s="1"/>
  <c r="AL231" i="1" l="1"/>
  <c r="AQ234" i="1"/>
  <c r="AN230" i="1"/>
  <c r="AP230" i="1" s="1"/>
  <c r="AH231" i="1"/>
  <c r="AG231" i="1"/>
  <c r="AK232" i="1"/>
  <c r="AM232" i="1"/>
  <c r="AI232" i="1"/>
  <c r="G232" i="1"/>
  <c r="K232" i="1"/>
  <c r="H232" i="1"/>
  <c r="J232" i="1"/>
  <c r="Y233" i="1"/>
  <c r="E234" i="1"/>
  <c r="AE234" i="1" s="1"/>
  <c r="AD234" i="1" s="1"/>
  <c r="D233" i="1"/>
  <c r="T232" i="1"/>
  <c r="C234" i="1"/>
  <c r="AC234" i="1" s="1"/>
  <c r="AA233" i="1"/>
  <c r="Z233" i="1" s="1"/>
  <c r="U231" i="1"/>
  <c r="V231" i="1" s="1"/>
  <c r="W230" i="1"/>
  <c r="P230" i="1" s="1"/>
  <c r="M233" i="1" l="1"/>
  <c r="N233" i="1"/>
  <c r="AL232" i="1"/>
  <c r="AN231" i="1"/>
  <c r="AP231" i="1" s="1"/>
  <c r="AG232" i="1"/>
  <c r="AH232" i="1"/>
  <c r="AM233" i="1"/>
  <c r="AK233" i="1"/>
  <c r="AI233" i="1"/>
  <c r="AQ235" i="1"/>
  <c r="D234" i="1"/>
  <c r="Y234" i="1"/>
  <c r="E235" i="1"/>
  <c r="AE235" i="1" s="1"/>
  <c r="AD235" i="1" s="1"/>
  <c r="T233" i="1"/>
  <c r="L232" i="1"/>
  <c r="S232" i="1"/>
  <c r="L233" i="1"/>
  <c r="K233" i="1"/>
  <c r="G233" i="1"/>
  <c r="H233" i="1"/>
  <c r="J233" i="1"/>
  <c r="AA234" i="1"/>
  <c r="Z234" i="1" s="1"/>
  <c r="N234" i="1" s="1"/>
  <c r="C235" i="1"/>
  <c r="AC235" i="1" s="1"/>
  <c r="W231" i="1"/>
  <c r="P231" i="1" s="1"/>
  <c r="U232" i="1"/>
  <c r="V232" i="1" s="1"/>
  <c r="AM234" i="1" l="1"/>
  <c r="AQ236" i="1"/>
  <c r="AL233" i="1"/>
  <c r="AK234" i="1"/>
  <c r="AI234" i="1"/>
  <c r="AN232" i="1"/>
  <c r="AP232" i="1" s="1"/>
  <c r="AH233" i="1"/>
  <c r="AG233" i="1"/>
  <c r="M232" i="1"/>
  <c r="S233" i="1"/>
  <c r="S234" i="1" s="1"/>
  <c r="M234" i="1"/>
  <c r="G234" i="1"/>
  <c r="J234" i="1"/>
  <c r="H234" i="1"/>
  <c r="K234" i="1"/>
  <c r="AA235" i="1"/>
  <c r="Z235" i="1" s="1"/>
  <c r="N235" i="1" s="1"/>
  <c r="C236" i="1"/>
  <c r="AC236" i="1" s="1"/>
  <c r="D235" i="1"/>
  <c r="Y235" i="1"/>
  <c r="E236" i="1"/>
  <c r="AE236" i="1" s="1"/>
  <c r="AD236" i="1" s="1"/>
  <c r="T234" i="1"/>
  <c r="L234" i="1"/>
  <c r="U233" i="1"/>
  <c r="V233" i="1" s="1"/>
  <c r="W232" i="1"/>
  <c r="AI235" i="1" l="1"/>
  <c r="AM235" i="1"/>
  <c r="AG234" i="1"/>
  <c r="AN233" i="1"/>
  <c r="AP233" i="1" s="1"/>
  <c r="AH234" i="1"/>
  <c r="AL234" i="1"/>
  <c r="AQ237" i="1"/>
  <c r="AK235" i="1"/>
  <c r="P232" i="1"/>
  <c r="J235" i="1"/>
  <c r="H235" i="1"/>
  <c r="G235" i="1"/>
  <c r="K235" i="1"/>
  <c r="L235" i="1"/>
  <c r="S235" i="1"/>
  <c r="M235" i="1" s="1"/>
  <c r="D236" i="1"/>
  <c r="E237" i="1"/>
  <c r="AE237" i="1" s="1"/>
  <c r="AD237" i="1" s="1"/>
  <c r="Y236" i="1"/>
  <c r="AA236" i="1"/>
  <c r="Z236" i="1" s="1"/>
  <c r="N236" i="1" s="1"/>
  <c r="C237" i="1"/>
  <c r="AC237" i="1" s="1"/>
  <c r="T235" i="1"/>
  <c r="U234" i="1"/>
  <c r="V234" i="1" s="1"/>
  <c r="W233" i="1"/>
  <c r="P233" i="1" s="1"/>
  <c r="AG235" i="1" l="1"/>
  <c r="AH235" i="1"/>
  <c r="AN234" i="1"/>
  <c r="AP234" i="1" s="1"/>
  <c r="AL235" i="1"/>
  <c r="AQ238" i="1"/>
  <c r="AM236" i="1"/>
  <c r="AK236" i="1"/>
  <c r="AI236" i="1"/>
  <c r="G236" i="1"/>
  <c r="K236" i="1"/>
  <c r="H236" i="1"/>
  <c r="J236" i="1"/>
  <c r="L236" i="1"/>
  <c r="S236" i="1"/>
  <c r="M236" i="1"/>
  <c r="T236" i="1"/>
  <c r="Y237" i="1"/>
  <c r="E238" i="1"/>
  <c r="AE238" i="1" s="1"/>
  <c r="AD238" i="1" s="1"/>
  <c r="D237" i="1"/>
  <c r="AA237" i="1"/>
  <c r="Z237" i="1" s="1"/>
  <c r="N237" i="1" s="1"/>
  <c r="C238" i="1"/>
  <c r="AC238" i="1" s="1"/>
  <c r="W234" i="1"/>
  <c r="P234" i="1" s="1"/>
  <c r="U235" i="1"/>
  <c r="V235" i="1" s="1"/>
  <c r="AQ239" i="1" l="1"/>
  <c r="AL236" i="1"/>
  <c r="AG236" i="1"/>
  <c r="AN235" i="1"/>
  <c r="AP235" i="1" s="1"/>
  <c r="AH236" i="1"/>
  <c r="AM237" i="1"/>
  <c r="AK237" i="1"/>
  <c r="AI237" i="1"/>
  <c r="AA238" i="1"/>
  <c r="Z238" i="1" s="1"/>
  <c r="AK238" i="1" s="1"/>
  <c r="C239" i="1"/>
  <c r="AC239" i="1" s="1"/>
  <c r="K237" i="1"/>
  <c r="J237" i="1"/>
  <c r="G237" i="1"/>
  <c r="H237" i="1"/>
  <c r="S237" i="1"/>
  <c r="L237" i="1"/>
  <c r="M237" i="1"/>
  <c r="E239" i="1"/>
  <c r="AE239" i="1" s="1"/>
  <c r="AD239" i="1" s="1"/>
  <c r="Y238" i="1"/>
  <c r="D238" i="1"/>
  <c r="T237" i="1"/>
  <c r="U236" i="1"/>
  <c r="V236" i="1" s="1"/>
  <c r="W235" i="1"/>
  <c r="P235" i="1" s="1"/>
  <c r="AL237" i="1" l="1"/>
  <c r="AH237" i="1"/>
  <c r="AG237" i="1"/>
  <c r="AN236" i="1"/>
  <c r="AP236" i="1" s="1"/>
  <c r="L238" i="1"/>
  <c r="N238" i="1"/>
  <c r="AI238" i="1"/>
  <c r="AQ240" i="1"/>
  <c r="AM238" i="1"/>
  <c r="T238" i="1"/>
  <c r="S238" i="1"/>
  <c r="M238" i="1" s="1"/>
  <c r="E240" i="1"/>
  <c r="AE240" i="1" s="1"/>
  <c r="AD240" i="1" s="1"/>
  <c r="Y239" i="1"/>
  <c r="D239" i="1"/>
  <c r="C240" i="1"/>
  <c r="AC240" i="1" s="1"/>
  <c r="AA239" i="1"/>
  <c r="Z239" i="1" s="1"/>
  <c r="AM239" i="1" s="1"/>
  <c r="G238" i="1"/>
  <c r="H238" i="1"/>
  <c r="J238" i="1"/>
  <c r="K238" i="1"/>
  <c r="U237" i="1"/>
  <c r="V237" i="1" s="1"/>
  <c r="W236" i="1"/>
  <c r="P236" i="1" s="1"/>
  <c r="AI239" i="1" l="1"/>
  <c r="M239" i="1"/>
  <c r="N239" i="1"/>
  <c r="AK239" i="1"/>
  <c r="AQ241" i="1"/>
  <c r="AL238" i="1"/>
  <c r="AG238" i="1"/>
  <c r="AH238" i="1"/>
  <c r="AN237" i="1"/>
  <c r="AP237" i="1" s="1"/>
  <c r="S239" i="1"/>
  <c r="L239" i="1"/>
  <c r="G239" i="1"/>
  <c r="J239" i="1"/>
  <c r="K239" i="1"/>
  <c r="H239" i="1"/>
  <c r="T239" i="1"/>
  <c r="AA240" i="1"/>
  <c r="Z240" i="1" s="1"/>
  <c r="C241" i="1"/>
  <c r="AC241" i="1" s="1"/>
  <c r="D240" i="1"/>
  <c r="Y240" i="1"/>
  <c r="E241" i="1"/>
  <c r="AE241" i="1" s="1"/>
  <c r="AD241" i="1" s="1"/>
  <c r="U238" i="1"/>
  <c r="V238" i="1" s="1"/>
  <c r="W237" i="1"/>
  <c r="P237" i="1" s="1"/>
  <c r="AL239" i="1" l="1"/>
  <c r="AN238" i="1"/>
  <c r="AP238" i="1" s="1"/>
  <c r="AH239" i="1"/>
  <c r="AG239" i="1"/>
  <c r="L240" i="1"/>
  <c r="N240" i="1"/>
  <c r="AI240" i="1"/>
  <c r="AM240" i="1"/>
  <c r="AQ242" i="1"/>
  <c r="AK240" i="1"/>
  <c r="E242" i="1"/>
  <c r="AE242" i="1" s="1"/>
  <c r="AD242" i="1" s="1"/>
  <c r="Y241" i="1"/>
  <c r="D241" i="1"/>
  <c r="T240" i="1"/>
  <c r="S240" i="1"/>
  <c r="J240" i="1"/>
  <c r="G240" i="1"/>
  <c r="H240" i="1"/>
  <c r="K240" i="1"/>
  <c r="M240" i="1"/>
  <c r="C242" i="1"/>
  <c r="AC242" i="1" s="1"/>
  <c r="AA241" i="1"/>
  <c r="Z241" i="1" s="1"/>
  <c r="N241" i="1" s="1"/>
  <c r="U239" i="1"/>
  <c r="V239" i="1" s="1"/>
  <c r="W238" i="1"/>
  <c r="P238" i="1" s="1"/>
  <c r="AQ243" i="1" l="1"/>
  <c r="AI241" i="1"/>
  <c r="AM241" i="1"/>
  <c r="AK241" i="1"/>
  <c r="AL240" i="1"/>
  <c r="AG240" i="1"/>
  <c r="AH240" i="1"/>
  <c r="AN239" i="1"/>
  <c r="AP239" i="1" s="1"/>
  <c r="K241" i="1"/>
  <c r="G241" i="1"/>
  <c r="J241" i="1"/>
  <c r="H241" i="1"/>
  <c r="L241" i="1"/>
  <c r="T241" i="1"/>
  <c r="Y242" i="1"/>
  <c r="D242" i="1"/>
  <c r="E243" i="1"/>
  <c r="AE243" i="1" s="1"/>
  <c r="AD243" i="1" s="1"/>
  <c r="S241" i="1"/>
  <c r="AA242" i="1"/>
  <c r="Z242" i="1" s="1"/>
  <c r="N242" i="1" s="1"/>
  <c r="C243" i="1"/>
  <c r="AC243" i="1" s="1"/>
  <c r="U240" i="1"/>
  <c r="V240" i="1" s="1"/>
  <c r="W239" i="1"/>
  <c r="P239" i="1" s="1"/>
  <c r="AL241" i="1" l="1"/>
  <c r="AN240" i="1"/>
  <c r="AP240" i="1" s="1"/>
  <c r="AH241" i="1"/>
  <c r="AG241" i="1"/>
  <c r="AM242" i="1"/>
  <c r="AK242" i="1"/>
  <c r="AI242" i="1"/>
  <c r="AQ244" i="1"/>
  <c r="G242" i="1"/>
  <c r="J242" i="1"/>
  <c r="H242" i="1"/>
  <c r="K242" i="1"/>
  <c r="M242" i="1"/>
  <c r="L242" i="1"/>
  <c r="AA243" i="1"/>
  <c r="Z243" i="1" s="1"/>
  <c r="AK243" i="1" s="1"/>
  <c r="C244" i="1"/>
  <c r="AC244" i="1" s="1"/>
  <c r="M241" i="1"/>
  <c r="S242" i="1"/>
  <c r="E244" i="1"/>
  <c r="AE244" i="1" s="1"/>
  <c r="AD244" i="1" s="1"/>
  <c r="Y243" i="1"/>
  <c r="D243" i="1"/>
  <c r="T242" i="1"/>
  <c r="U241" i="1"/>
  <c r="V241" i="1" s="1"/>
  <c r="W240" i="1"/>
  <c r="P240" i="1" s="1"/>
  <c r="AQ245" i="1" l="1"/>
  <c r="AM243" i="1"/>
  <c r="AL242" i="1"/>
  <c r="L243" i="1"/>
  <c r="N243" i="1"/>
  <c r="AI243" i="1"/>
  <c r="AN241" i="1"/>
  <c r="AP241" i="1" s="1"/>
  <c r="AH242" i="1"/>
  <c r="AG242" i="1"/>
  <c r="D244" i="1"/>
  <c r="Y244" i="1"/>
  <c r="E245" i="1"/>
  <c r="AE245" i="1" s="1"/>
  <c r="AD245" i="1" s="1"/>
  <c r="S243" i="1"/>
  <c r="C245" i="1"/>
  <c r="AC245" i="1" s="1"/>
  <c r="AA244" i="1"/>
  <c r="Z244" i="1" s="1"/>
  <c r="N244" i="1" s="1"/>
  <c r="G243" i="1"/>
  <c r="J243" i="1"/>
  <c r="K243" i="1"/>
  <c r="H243" i="1"/>
  <c r="M243" i="1"/>
  <c r="T243" i="1"/>
  <c r="W241" i="1"/>
  <c r="P241" i="1" s="1"/>
  <c r="U242" i="1"/>
  <c r="V242" i="1" s="1"/>
  <c r="AH243" i="1" l="1"/>
  <c r="AN242" i="1"/>
  <c r="AP242" i="1" s="1"/>
  <c r="AG243" i="1"/>
  <c r="AI244" i="1"/>
  <c r="AM244" i="1"/>
  <c r="AL243" i="1"/>
  <c r="AK244" i="1"/>
  <c r="AQ246" i="1"/>
  <c r="T244" i="1"/>
  <c r="AA245" i="1"/>
  <c r="Z245" i="1" s="1"/>
  <c r="N245" i="1" s="1"/>
  <c r="C246" i="1"/>
  <c r="AC246" i="1" s="1"/>
  <c r="G244" i="1"/>
  <c r="H244" i="1"/>
  <c r="K244" i="1"/>
  <c r="J244" i="1"/>
  <c r="E246" i="1"/>
  <c r="AE246" i="1" s="1"/>
  <c r="AD246" i="1" s="1"/>
  <c r="D245" i="1"/>
  <c r="Y245" i="1"/>
  <c r="U243" i="1"/>
  <c r="V243" i="1" s="1"/>
  <c r="W242" i="1"/>
  <c r="P242" i="1" s="1"/>
  <c r="AQ247" i="1" l="1"/>
  <c r="AI245" i="1"/>
  <c r="AK245" i="1"/>
  <c r="AM245" i="1"/>
  <c r="AH244" i="1"/>
  <c r="AG244" i="1"/>
  <c r="AN243" i="1"/>
  <c r="AP243" i="1" s="1"/>
  <c r="L245" i="1"/>
  <c r="G245" i="1"/>
  <c r="K245" i="1"/>
  <c r="H245" i="1"/>
  <c r="J245" i="1"/>
  <c r="E247" i="1"/>
  <c r="AE247" i="1" s="1"/>
  <c r="AD247" i="1" s="1"/>
  <c r="D246" i="1"/>
  <c r="Y246" i="1"/>
  <c r="M245" i="1"/>
  <c r="AA246" i="1"/>
  <c r="Z246" i="1" s="1"/>
  <c r="N246" i="1" s="1"/>
  <c r="C247" i="1"/>
  <c r="AC247" i="1" s="1"/>
  <c r="L244" i="1"/>
  <c r="T245" i="1"/>
  <c r="S244" i="1"/>
  <c r="U244" i="1"/>
  <c r="V244" i="1" s="1"/>
  <c r="W243" i="1"/>
  <c r="P243" i="1" s="1"/>
  <c r="AI246" i="1" l="1"/>
  <c r="AL244" i="1"/>
  <c r="AN244" i="1"/>
  <c r="AH245" i="1"/>
  <c r="AG245" i="1"/>
  <c r="AQ248" i="1"/>
  <c r="AK246" i="1"/>
  <c r="AM246" i="1"/>
  <c r="H246" i="1"/>
  <c r="J246" i="1"/>
  <c r="K246" i="1"/>
  <c r="L246" i="1"/>
  <c r="M246" i="1"/>
  <c r="G246" i="1"/>
  <c r="Y247" i="1"/>
  <c r="D247" i="1"/>
  <c r="E248" i="1"/>
  <c r="AE248" i="1" s="1"/>
  <c r="AD248" i="1" s="1"/>
  <c r="T246" i="1"/>
  <c r="C248" i="1"/>
  <c r="AC248" i="1" s="1"/>
  <c r="AA247" i="1"/>
  <c r="Z247" i="1" s="1"/>
  <c r="N247" i="1" s="1"/>
  <c r="S245" i="1"/>
  <c r="S246" i="1" s="1"/>
  <c r="M244" i="1"/>
  <c r="U245" i="1"/>
  <c r="V245" i="1" s="1"/>
  <c r="W244" i="1"/>
  <c r="AI247" i="1" l="1"/>
  <c r="AM247" i="1"/>
  <c r="AK247" i="1"/>
  <c r="AL245" i="1"/>
  <c r="AL246" i="1" s="1"/>
  <c r="AL247" i="1" s="1"/>
  <c r="AQ249" i="1"/>
  <c r="AH246" i="1"/>
  <c r="AN245" i="1"/>
  <c r="AG246" i="1"/>
  <c r="AP244" i="1"/>
  <c r="P244" i="1"/>
  <c r="K247" i="1"/>
  <c r="H247" i="1"/>
  <c r="G247" i="1"/>
  <c r="J247" i="1"/>
  <c r="L247" i="1"/>
  <c r="S247" i="1"/>
  <c r="M247" i="1" s="1"/>
  <c r="T247" i="1"/>
  <c r="Y248" i="1"/>
  <c r="D248" i="1"/>
  <c r="E249" i="1"/>
  <c r="AE249" i="1" s="1"/>
  <c r="AD249" i="1" s="1"/>
  <c r="C249" i="1"/>
  <c r="AC249" i="1" s="1"/>
  <c r="AA248" i="1"/>
  <c r="Z248" i="1" s="1"/>
  <c r="N248" i="1" s="1"/>
  <c r="U246" i="1"/>
  <c r="V246" i="1" s="1"/>
  <c r="W245" i="1"/>
  <c r="P245" i="1" s="1"/>
  <c r="AK248" i="1" l="1"/>
  <c r="AP245" i="1"/>
  <c r="AQ250" i="1"/>
  <c r="AM248" i="1"/>
  <c r="AG247" i="1"/>
  <c r="AH247" i="1"/>
  <c r="AN246" i="1"/>
  <c r="AP246" i="1" s="1"/>
  <c r="AI248" i="1"/>
  <c r="M248" i="1"/>
  <c r="J248" i="1"/>
  <c r="K248" i="1"/>
  <c r="G248" i="1"/>
  <c r="H248" i="1"/>
  <c r="L248" i="1"/>
  <c r="E250" i="1"/>
  <c r="AE250" i="1" s="1"/>
  <c r="AD250" i="1" s="1"/>
  <c r="Y249" i="1"/>
  <c r="D249" i="1"/>
  <c r="AA249" i="1"/>
  <c r="Z249" i="1" s="1"/>
  <c r="C250" i="1"/>
  <c r="AC250" i="1" s="1"/>
  <c r="T248" i="1"/>
  <c r="S248" i="1"/>
  <c r="U247" i="1"/>
  <c r="V247" i="1" s="1"/>
  <c r="W246" i="1"/>
  <c r="P246" i="1" s="1"/>
  <c r="L249" i="1" l="1"/>
  <c r="N249" i="1"/>
  <c r="AN247" i="1"/>
  <c r="AP247" i="1" s="1"/>
  <c r="AH248" i="1"/>
  <c r="AG248" i="1"/>
  <c r="AL248" i="1"/>
  <c r="AQ251" i="1"/>
  <c r="AK249" i="1"/>
  <c r="AM249" i="1"/>
  <c r="AI249" i="1"/>
  <c r="AA250" i="1"/>
  <c r="Z250" i="1" s="1"/>
  <c r="N250" i="1" s="1"/>
  <c r="C251" i="1"/>
  <c r="AC251" i="1" s="1"/>
  <c r="S249" i="1"/>
  <c r="M249" i="1"/>
  <c r="G249" i="1"/>
  <c r="J249" i="1"/>
  <c r="H249" i="1"/>
  <c r="K249" i="1"/>
  <c r="T249" i="1"/>
  <c r="Y250" i="1"/>
  <c r="E251" i="1"/>
  <c r="AE251" i="1" s="1"/>
  <c r="AD251" i="1" s="1"/>
  <c r="D250" i="1"/>
  <c r="U248" i="1"/>
  <c r="V248" i="1" s="1"/>
  <c r="W247" i="1"/>
  <c r="P247" i="1" s="1"/>
  <c r="AL249" i="1" l="1"/>
  <c r="AI250" i="1"/>
  <c r="AK250" i="1"/>
  <c r="T250" i="1"/>
  <c r="AM250" i="1"/>
  <c r="S250" i="1"/>
  <c r="AQ252" i="1"/>
  <c r="L250" i="1"/>
  <c r="AH249" i="1"/>
  <c r="AG249" i="1"/>
  <c r="AN248" i="1"/>
  <c r="AP248" i="1" s="1"/>
  <c r="M250" i="1"/>
  <c r="AA251" i="1"/>
  <c r="Z251" i="1" s="1"/>
  <c r="C252" i="1"/>
  <c r="AC252" i="1" s="1"/>
  <c r="J250" i="1"/>
  <c r="G250" i="1"/>
  <c r="H250" i="1"/>
  <c r="K250" i="1"/>
  <c r="D251" i="1"/>
  <c r="Y251" i="1"/>
  <c r="E252" i="1"/>
  <c r="AE252" i="1" s="1"/>
  <c r="AD252" i="1" s="1"/>
  <c r="U249" i="1"/>
  <c r="V249" i="1" s="1"/>
  <c r="W248" i="1"/>
  <c r="P248" i="1" s="1"/>
  <c r="N251" i="1" l="1"/>
  <c r="AL250" i="1"/>
  <c r="AM251" i="1"/>
  <c r="AH250" i="1"/>
  <c r="AN249" i="1"/>
  <c r="AP249" i="1" s="1"/>
  <c r="AG250" i="1"/>
  <c r="AI251" i="1"/>
  <c r="AK251" i="1"/>
  <c r="AQ253" i="1"/>
  <c r="H251" i="1"/>
  <c r="M251" i="1"/>
  <c r="L251" i="1"/>
  <c r="K251" i="1"/>
  <c r="G251" i="1"/>
  <c r="J251" i="1"/>
  <c r="T251" i="1"/>
  <c r="S251" i="1"/>
  <c r="Y252" i="1"/>
  <c r="D252" i="1"/>
  <c r="E253" i="1"/>
  <c r="AE253" i="1" s="1"/>
  <c r="AD253" i="1" s="1"/>
  <c r="AA252" i="1"/>
  <c r="Z252" i="1" s="1"/>
  <c r="N252" i="1" s="1"/>
  <c r="C253" i="1"/>
  <c r="AC253" i="1" s="1"/>
  <c r="U250" i="1"/>
  <c r="V250" i="1" s="1"/>
  <c r="W249" i="1"/>
  <c r="P249" i="1" s="1"/>
  <c r="AK252" i="1" l="1"/>
  <c r="AQ254" i="1"/>
  <c r="AM252" i="1"/>
  <c r="AL251" i="1"/>
  <c r="AI252" i="1"/>
  <c r="AN250" i="1"/>
  <c r="AP250" i="1" s="1"/>
  <c r="AH251" i="1"/>
  <c r="AG251" i="1"/>
  <c r="H252" i="1"/>
  <c r="J252" i="1"/>
  <c r="K252" i="1"/>
  <c r="G252" i="1"/>
  <c r="L252" i="1"/>
  <c r="M252" i="1"/>
  <c r="AA253" i="1"/>
  <c r="Z253" i="1" s="1"/>
  <c r="N253" i="1" s="1"/>
  <c r="C254" i="1"/>
  <c r="AC254" i="1" s="1"/>
  <c r="E254" i="1"/>
  <c r="AE254" i="1" s="1"/>
  <c r="AD254" i="1" s="1"/>
  <c r="Y253" i="1"/>
  <c r="D253" i="1"/>
  <c r="T252" i="1"/>
  <c r="S252" i="1"/>
  <c r="W250" i="1"/>
  <c r="P250" i="1" s="1"/>
  <c r="U251" i="1"/>
  <c r="V251" i="1" s="1"/>
  <c r="T253" i="1" l="1"/>
  <c r="AL252" i="1"/>
  <c r="AG252" i="1"/>
  <c r="AH252" i="1"/>
  <c r="AN251" i="1"/>
  <c r="AP251" i="1" s="1"/>
  <c r="AK253" i="1"/>
  <c r="AM253" i="1"/>
  <c r="AI253" i="1"/>
  <c r="AQ255" i="1"/>
  <c r="S253" i="1"/>
  <c r="M253" i="1" s="1"/>
  <c r="Y254" i="1"/>
  <c r="E255" i="1"/>
  <c r="AE255" i="1" s="1"/>
  <c r="AD255" i="1" s="1"/>
  <c r="D254" i="1"/>
  <c r="L253" i="1"/>
  <c r="AA254" i="1"/>
  <c r="Z254" i="1" s="1"/>
  <c r="N254" i="1" s="1"/>
  <c r="C255" i="1"/>
  <c r="AC255" i="1" s="1"/>
  <c r="H253" i="1"/>
  <c r="K253" i="1"/>
  <c r="J253" i="1"/>
  <c r="G253" i="1"/>
  <c r="U252" i="1"/>
  <c r="V252" i="1" s="1"/>
  <c r="W251" i="1"/>
  <c r="P251" i="1" s="1"/>
  <c r="AQ256" i="1" l="1"/>
  <c r="AM254" i="1"/>
  <c r="AI254" i="1"/>
  <c r="AK254" i="1"/>
  <c r="AL253" i="1"/>
  <c r="AN252" i="1"/>
  <c r="AP252" i="1" s="1"/>
  <c r="AH253" i="1"/>
  <c r="AG253" i="1"/>
  <c r="H254" i="1"/>
  <c r="J254" i="1"/>
  <c r="K254" i="1"/>
  <c r="G254" i="1"/>
  <c r="L254" i="1"/>
  <c r="T254" i="1"/>
  <c r="S254" i="1"/>
  <c r="M254" i="1"/>
  <c r="C256" i="1"/>
  <c r="AC256" i="1" s="1"/>
  <c r="AA255" i="1"/>
  <c r="Z255" i="1" s="1"/>
  <c r="D255" i="1"/>
  <c r="Y255" i="1"/>
  <c r="E256" i="1"/>
  <c r="AE256" i="1" s="1"/>
  <c r="AD256" i="1" s="1"/>
  <c r="U253" i="1"/>
  <c r="V253" i="1" s="1"/>
  <c r="W252" i="1"/>
  <c r="P252" i="1" s="1"/>
  <c r="AG254" i="1" l="1"/>
  <c r="AH254" i="1"/>
  <c r="AN253" i="1"/>
  <c r="AP253" i="1" s="1"/>
  <c r="L255" i="1"/>
  <c r="N255" i="1"/>
  <c r="AM255" i="1"/>
  <c r="AI255" i="1"/>
  <c r="AK255" i="1"/>
  <c r="AL254" i="1"/>
  <c r="AQ257" i="1"/>
  <c r="AA256" i="1"/>
  <c r="Z256" i="1" s="1"/>
  <c r="N256" i="1" s="1"/>
  <c r="C257" i="1"/>
  <c r="AC257" i="1" s="1"/>
  <c r="T255" i="1"/>
  <c r="M255" i="1"/>
  <c r="H255" i="1"/>
  <c r="G255" i="1"/>
  <c r="J255" i="1"/>
  <c r="K255" i="1"/>
  <c r="S255" i="1"/>
  <c r="D256" i="1"/>
  <c r="Y256" i="1"/>
  <c r="E257" i="1"/>
  <c r="AE257" i="1" s="1"/>
  <c r="AD257" i="1" s="1"/>
  <c r="W253" i="1"/>
  <c r="P253" i="1" s="1"/>
  <c r="U254" i="1"/>
  <c r="V254" i="1" s="1"/>
  <c r="AL255" i="1" l="1"/>
  <c r="AQ258" i="1"/>
  <c r="AI256" i="1"/>
  <c r="AM256" i="1"/>
  <c r="AK256" i="1"/>
  <c r="T256" i="1"/>
  <c r="L256" i="1" s="1"/>
  <c r="AH255" i="1"/>
  <c r="AG255" i="1"/>
  <c r="AN254" i="1"/>
  <c r="AP254" i="1" s="1"/>
  <c r="C258" i="1"/>
  <c r="AC258" i="1" s="1"/>
  <c r="AA257" i="1"/>
  <c r="Z257" i="1" s="1"/>
  <c r="N257" i="1" s="1"/>
  <c r="E258" i="1"/>
  <c r="AE258" i="1" s="1"/>
  <c r="AD258" i="1" s="1"/>
  <c r="D257" i="1"/>
  <c r="Y257" i="1"/>
  <c r="J256" i="1"/>
  <c r="H256" i="1"/>
  <c r="K256" i="1"/>
  <c r="G256" i="1"/>
  <c r="U255" i="1"/>
  <c r="V255" i="1" s="1"/>
  <c r="W254" i="1"/>
  <c r="P254" i="1" s="1"/>
  <c r="AL256" i="1" l="1"/>
  <c r="S256" i="1"/>
  <c r="M256" i="1" s="1"/>
  <c r="AG256" i="1"/>
  <c r="AH256" i="1"/>
  <c r="AN255" i="1"/>
  <c r="AP255" i="1" s="1"/>
  <c r="AM257" i="1"/>
  <c r="AI257" i="1"/>
  <c r="AK257" i="1"/>
  <c r="AQ259" i="1"/>
  <c r="K257" i="1"/>
  <c r="H257" i="1"/>
  <c r="J257" i="1"/>
  <c r="L257" i="1"/>
  <c r="T257" i="1"/>
  <c r="M257" i="1"/>
  <c r="G257" i="1"/>
  <c r="C259" i="1"/>
  <c r="AC259" i="1" s="1"/>
  <c r="AA258" i="1"/>
  <c r="Z258" i="1" s="1"/>
  <c r="N258" i="1" s="1"/>
  <c r="D258" i="1"/>
  <c r="Y258" i="1"/>
  <c r="E259" i="1"/>
  <c r="AE259" i="1" s="1"/>
  <c r="AD259" i="1" s="1"/>
  <c r="U256" i="1"/>
  <c r="V256" i="1" s="1"/>
  <c r="W255" i="1"/>
  <c r="P255" i="1" s="1"/>
  <c r="S257" i="1" l="1"/>
  <c r="AM258" i="1"/>
  <c r="AH257" i="1"/>
  <c r="AG257" i="1"/>
  <c r="AN256" i="1"/>
  <c r="AP256" i="1" s="1"/>
  <c r="AQ260" i="1"/>
  <c r="AI258" i="1"/>
  <c r="AK258" i="1"/>
  <c r="AL257" i="1"/>
  <c r="AL258" i="1" s="1"/>
  <c r="C260" i="1"/>
  <c r="AC260" i="1" s="1"/>
  <c r="AA259" i="1"/>
  <c r="Z259" i="1" s="1"/>
  <c r="N259" i="1" s="1"/>
  <c r="M258" i="1"/>
  <c r="K258" i="1"/>
  <c r="H258" i="1"/>
  <c r="G258" i="1"/>
  <c r="J258" i="1"/>
  <c r="D259" i="1"/>
  <c r="Y259" i="1"/>
  <c r="E260" i="1"/>
  <c r="AE260" i="1" s="1"/>
  <c r="AD260" i="1" s="1"/>
  <c r="L258" i="1"/>
  <c r="S258" i="1"/>
  <c r="T258" i="1"/>
  <c r="W256" i="1"/>
  <c r="P256" i="1" s="1"/>
  <c r="U257" i="1"/>
  <c r="V257" i="1" s="1"/>
  <c r="AM259" i="1" l="1"/>
  <c r="AK259" i="1"/>
  <c r="S259" i="1"/>
  <c r="M259" i="1" s="1"/>
  <c r="AI259" i="1"/>
  <c r="T259" i="1"/>
  <c r="AQ261" i="1"/>
  <c r="AN257" i="1"/>
  <c r="AP257" i="1" s="1"/>
  <c r="AH258" i="1"/>
  <c r="AG258" i="1"/>
  <c r="AL259" i="1"/>
  <c r="E261" i="1"/>
  <c r="AE261" i="1" s="1"/>
  <c r="AD261" i="1" s="1"/>
  <c r="Y260" i="1"/>
  <c r="D260" i="1"/>
  <c r="J259" i="1"/>
  <c r="K259" i="1"/>
  <c r="H259" i="1"/>
  <c r="G259" i="1"/>
  <c r="AA260" i="1"/>
  <c r="Z260" i="1" s="1"/>
  <c r="N260" i="1" s="1"/>
  <c r="C261" i="1"/>
  <c r="AC261" i="1" s="1"/>
  <c r="L259" i="1"/>
  <c r="U258" i="1"/>
  <c r="V258" i="1" s="1"/>
  <c r="W257" i="1"/>
  <c r="P257" i="1" s="1"/>
  <c r="AI260" i="1" l="1"/>
  <c r="AK260" i="1"/>
  <c r="AM260" i="1"/>
  <c r="AN258" i="1"/>
  <c r="AP258" i="1" s="1"/>
  <c r="AG259" i="1"/>
  <c r="AH259" i="1"/>
  <c r="AQ262" i="1"/>
  <c r="G260" i="1"/>
  <c r="J260" i="1"/>
  <c r="L260" i="1"/>
  <c r="H260" i="1"/>
  <c r="M260" i="1"/>
  <c r="K260" i="1"/>
  <c r="T260" i="1"/>
  <c r="S260" i="1"/>
  <c r="C262" i="1"/>
  <c r="AC262" i="1" s="1"/>
  <c r="AA261" i="1"/>
  <c r="Z261" i="1" s="1"/>
  <c r="Y261" i="1"/>
  <c r="E262" i="1"/>
  <c r="AE262" i="1" s="1"/>
  <c r="AD262" i="1" s="1"/>
  <c r="D261" i="1"/>
  <c r="U259" i="1"/>
  <c r="V259" i="1" s="1"/>
  <c r="W258" i="1"/>
  <c r="P258" i="1" s="1"/>
  <c r="L261" i="1" l="1"/>
  <c r="N261" i="1"/>
  <c r="AQ263" i="1"/>
  <c r="AI261" i="1"/>
  <c r="AK261" i="1"/>
  <c r="AH260" i="1"/>
  <c r="AN259" i="1"/>
  <c r="AP259" i="1" s="1"/>
  <c r="AG260" i="1"/>
  <c r="AM261" i="1"/>
  <c r="AL260" i="1"/>
  <c r="AL261" i="1" s="1"/>
  <c r="G261" i="1"/>
  <c r="K261" i="1"/>
  <c r="H261" i="1"/>
  <c r="J261" i="1"/>
  <c r="T261" i="1"/>
  <c r="M261" i="1"/>
  <c r="AA262" i="1"/>
  <c r="Z262" i="1" s="1"/>
  <c r="C263" i="1"/>
  <c r="AC263" i="1" s="1"/>
  <c r="D262" i="1"/>
  <c r="Y262" i="1"/>
  <c r="E263" i="1"/>
  <c r="AE263" i="1" s="1"/>
  <c r="AD263" i="1" s="1"/>
  <c r="S261" i="1"/>
  <c r="W259" i="1"/>
  <c r="P259" i="1" s="1"/>
  <c r="U260" i="1"/>
  <c r="V260" i="1" s="1"/>
  <c r="S262" i="1" l="1"/>
  <c r="AH261" i="1"/>
  <c r="AN260" i="1"/>
  <c r="AP260" i="1" s="1"/>
  <c r="AG261" i="1"/>
  <c r="L262" i="1"/>
  <c r="N262" i="1"/>
  <c r="AI262" i="1"/>
  <c r="AK262" i="1"/>
  <c r="AM262" i="1"/>
  <c r="AQ264" i="1"/>
  <c r="M262" i="1"/>
  <c r="E264" i="1"/>
  <c r="AE264" i="1" s="1"/>
  <c r="AD264" i="1" s="1"/>
  <c r="D263" i="1"/>
  <c r="Y263" i="1"/>
  <c r="AA263" i="1"/>
  <c r="Z263" i="1" s="1"/>
  <c r="N263" i="1" s="1"/>
  <c r="C264" i="1"/>
  <c r="AC264" i="1" s="1"/>
  <c r="G262" i="1"/>
  <c r="H262" i="1"/>
  <c r="J262" i="1"/>
  <c r="K262" i="1"/>
  <c r="T262" i="1"/>
  <c r="U261" i="1"/>
  <c r="V261" i="1" s="1"/>
  <c r="W260" i="1"/>
  <c r="P260" i="1" s="1"/>
  <c r="AL262" i="1" l="1"/>
  <c r="AK263" i="1"/>
  <c r="AM263" i="1"/>
  <c r="AI263" i="1"/>
  <c r="AQ265" i="1"/>
  <c r="AN261" i="1"/>
  <c r="AP261" i="1" s="1"/>
  <c r="AH262" i="1"/>
  <c r="AG262" i="1"/>
  <c r="H263" i="1"/>
  <c r="J263" i="1"/>
  <c r="G263" i="1"/>
  <c r="L263" i="1"/>
  <c r="K263" i="1"/>
  <c r="M263" i="1"/>
  <c r="S263" i="1"/>
  <c r="T263" i="1"/>
  <c r="AA264" i="1"/>
  <c r="Z264" i="1" s="1"/>
  <c r="N264" i="1" s="1"/>
  <c r="C265" i="1"/>
  <c r="AC265" i="1" s="1"/>
  <c r="D264" i="1"/>
  <c r="E265" i="1"/>
  <c r="AE265" i="1" s="1"/>
  <c r="AD265" i="1" s="1"/>
  <c r="Y264" i="1"/>
  <c r="U262" i="1"/>
  <c r="V262" i="1" s="1"/>
  <c r="W261" i="1"/>
  <c r="P261" i="1" s="1"/>
  <c r="AI264" i="1" l="1"/>
  <c r="AQ266" i="1"/>
  <c r="AM264" i="1"/>
  <c r="AK264" i="1"/>
  <c r="AH263" i="1"/>
  <c r="AN262" i="1"/>
  <c r="AP262" i="1" s="1"/>
  <c r="AG263" i="1"/>
  <c r="AL263" i="1"/>
  <c r="G264" i="1"/>
  <c r="H264" i="1"/>
  <c r="J264" i="1"/>
  <c r="M264" i="1"/>
  <c r="L264" i="1"/>
  <c r="K264" i="1"/>
  <c r="Z265" i="1"/>
  <c r="AI265" i="1" s="1"/>
  <c r="C266" i="1"/>
  <c r="AC266" i="1" s="1"/>
  <c r="AA265" i="1"/>
  <c r="T264" i="1"/>
  <c r="E266" i="1"/>
  <c r="AE266" i="1" s="1"/>
  <c r="AD266" i="1" s="1"/>
  <c r="Y265" i="1"/>
  <c r="D265" i="1"/>
  <c r="S264" i="1"/>
  <c r="U263" i="1"/>
  <c r="V263" i="1" s="1"/>
  <c r="W262" i="1"/>
  <c r="P262" i="1" s="1"/>
  <c r="AL264" i="1" l="1"/>
  <c r="S265" i="1"/>
  <c r="M265" i="1" s="1"/>
  <c r="AK265" i="1"/>
  <c r="AM265" i="1"/>
  <c r="L265" i="1"/>
  <c r="N265" i="1"/>
  <c r="AQ267" i="1"/>
  <c r="AG264" i="1"/>
  <c r="AN263" i="1"/>
  <c r="AP263" i="1" s="1"/>
  <c r="AH264" i="1"/>
  <c r="K265" i="1"/>
  <c r="G265" i="1"/>
  <c r="H265" i="1"/>
  <c r="J265" i="1"/>
  <c r="Y266" i="1"/>
  <c r="D266" i="1"/>
  <c r="E267" i="1"/>
  <c r="AE267" i="1" s="1"/>
  <c r="AD267" i="1" s="1"/>
  <c r="T265" i="1"/>
  <c r="AA266" i="1"/>
  <c r="Z266" i="1" s="1"/>
  <c r="N266" i="1" s="1"/>
  <c r="C267" i="1"/>
  <c r="AC267" i="1" s="1"/>
  <c r="U264" i="1"/>
  <c r="V264" i="1" s="1"/>
  <c r="W263" i="1"/>
  <c r="P263" i="1" s="1"/>
  <c r="AM266" i="1" l="1"/>
  <c r="AK266" i="1"/>
  <c r="AN264" i="1"/>
  <c r="AP264" i="1" s="1"/>
  <c r="AG265" i="1"/>
  <c r="AH265" i="1"/>
  <c r="AL265" i="1"/>
  <c r="AI266" i="1"/>
  <c r="AQ268" i="1"/>
  <c r="AA267" i="1"/>
  <c r="Z267" i="1" s="1"/>
  <c r="N267" i="1" s="1"/>
  <c r="C268" i="1"/>
  <c r="AC268" i="1" s="1"/>
  <c r="T266" i="1"/>
  <c r="Y267" i="1"/>
  <c r="D267" i="1"/>
  <c r="E268" i="1"/>
  <c r="AE268" i="1" s="1"/>
  <c r="AD268" i="1" s="1"/>
  <c r="G266" i="1"/>
  <c r="J266" i="1"/>
  <c r="K266" i="1"/>
  <c r="H266" i="1"/>
  <c r="L266" i="1"/>
  <c r="M266" i="1"/>
  <c r="S266" i="1"/>
  <c r="U265" i="1"/>
  <c r="V265" i="1" s="1"/>
  <c r="W264" i="1"/>
  <c r="P264" i="1" s="1"/>
  <c r="AL266" i="1" l="1"/>
  <c r="AG266" i="1"/>
  <c r="AN265" i="1"/>
  <c r="AP265" i="1" s="1"/>
  <c r="AH266" i="1"/>
  <c r="AI267" i="1"/>
  <c r="AM267" i="1"/>
  <c r="AK267" i="1"/>
  <c r="AQ269" i="1"/>
  <c r="H267" i="1"/>
  <c r="G267" i="1"/>
  <c r="J267" i="1"/>
  <c r="K267" i="1"/>
  <c r="S267" i="1"/>
  <c r="M267" i="1"/>
  <c r="L267" i="1"/>
  <c r="T267" i="1"/>
  <c r="C269" i="1"/>
  <c r="AC269" i="1" s="1"/>
  <c r="AA268" i="1"/>
  <c r="Z268" i="1" s="1"/>
  <c r="N268" i="1" s="1"/>
  <c r="D268" i="1"/>
  <c r="Y268" i="1"/>
  <c r="E269" i="1"/>
  <c r="AE269" i="1" s="1"/>
  <c r="AD269" i="1" s="1"/>
  <c r="U266" i="1"/>
  <c r="V266" i="1" s="1"/>
  <c r="W265" i="1"/>
  <c r="P265" i="1" s="1"/>
  <c r="AQ270" i="1" l="1"/>
  <c r="AI268" i="1"/>
  <c r="AM268" i="1"/>
  <c r="AK268" i="1"/>
  <c r="AN266" i="1"/>
  <c r="AP266" i="1" s="1"/>
  <c r="AG267" i="1"/>
  <c r="AH267" i="1"/>
  <c r="AL267" i="1"/>
  <c r="D269" i="1"/>
  <c r="E270" i="1"/>
  <c r="AE270" i="1" s="1"/>
  <c r="AD270" i="1" s="1"/>
  <c r="Y269" i="1"/>
  <c r="AA269" i="1"/>
  <c r="Z269" i="1" s="1"/>
  <c r="N269" i="1" s="1"/>
  <c r="C270" i="1"/>
  <c r="AC270" i="1" s="1"/>
  <c r="K268" i="1"/>
  <c r="H268" i="1"/>
  <c r="J268" i="1"/>
  <c r="G268" i="1"/>
  <c r="T268" i="1"/>
  <c r="U267" i="1"/>
  <c r="V267" i="1" s="1"/>
  <c r="W266" i="1"/>
  <c r="P266" i="1" s="1"/>
  <c r="AL268" i="1" l="1"/>
  <c r="AM269" i="1"/>
  <c r="AK269" i="1"/>
  <c r="AI269" i="1"/>
  <c r="AN267" i="1"/>
  <c r="AP267" i="1" s="1"/>
  <c r="AG268" i="1"/>
  <c r="AH268" i="1"/>
  <c r="AQ271" i="1"/>
  <c r="G269" i="1"/>
  <c r="M269" i="1"/>
  <c r="K269" i="1"/>
  <c r="J269" i="1"/>
  <c r="H269" i="1"/>
  <c r="T269" i="1"/>
  <c r="L268" i="1"/>
  <c r="S268" i="1"/>
  <c r="AA270" i="1"/>
  <c r="Z270" i="1" s="1"/>
  <c r="C271" i="1"/>
  <c r="AC271" i="1" s="1"/>
  <c r="L269" i="1"/>
  <c r="E271" i="1"/>
  <c r="AE271" i="1" s="1"/>
  <c r="AD271" i="1" s="1"/>
  <c r="Y270" i="1"/>
  <c r="D270" i="1"/>
  <c r="U268" i="1"/>
  <c r="V268" i="1" s="1"/>
  <c r="W267" i="1"/>
  <c r="P267" i="1" s="1"/>
  <c r="AQ272" i="1" l="1"/>
  <c r="M270" i="1"/>
  <c r="N270" i="1"/>
  <c r="AK270" i="1"/>
  <c r="AM270" i="1"/>
  <c r="AI270" i="1"/>
  <c r="AH269" i="1"/>
  <c r="AG269" i="1"/>
  <c r="AN268" i="1"/>
  <c r="AP268" i="1" s="1"/>
  <c r="AL269" i="1"/>
  <c r="AL270" i="1" s="1"/>
  <c r="D271" i="1"/>
  <c r="Y271" i="1"/>
  <c r="E272" i="1"/>
  <c r="AE272" i="1" s="1"/>
  <c r="AD272" i="1" s="1"/>
  <c r="Z271" i="1"/>
  <c r="N271" i="1" s="1"/>
  <c r="AA271" i="1"/>
  <c r="C272" i="1"/>
  <c r="AC272" i="1" s="1"/>
  <c r="L270" i="1"/>
  <c r="J270" i="1"/>
  <c r="K270" i="1"/>
  <c r="G270" i="1"/>
  <c r="H270" i="1"/>
  <c r="T270" i="1"/>
  <c r="M268" i="1"/>
  <c r="S269" i="1"/>
  <c r="S270" i="1" s="1"/>
  <c r="U269" i="1"/>
  <c r="V269" i="1" s="1"/>
  <c r="W268" i="1"/>
  <c r="AM271" i="1" l="1"/>
  <c r="AH270" i="1"/>
  <c r="AG270" i="1"/>
  <c r="AN269" i="1"/>
  <c r="AP269" i="1" s="1"/>
  <c r="AI271" i="1"/>
  <c r="AK271" i="1"/>
  <c r="S271" i="1"/>
  <c r="M271" i="1" s="1"/>
  <c r="AQ273" i="1"/>
  <c r="T271" i="1"/>
  <c r="AA272" i="1"/>
  <c r="Z272" i="1" s="1"/>
  <c r="AK272" i="1" s="1"/>
  <c r="C273" i="1"/>
  <c r="AC273" i="1" s="1"/>
  <c r="D272" i="1"/>
  <c r="E273" i="1"/>
  <c r="AE273" i="1" s="1"/>
  <c r="AD273" i="1" s="1"/>
  <c r="Y272" i="1"/>
  <c r="G271" i="1"/>
  <c r="H271" i="1"/>
  <c r="J271" i="1"/>
  <c r="K271" i="1"/>
  <c r="P268" i="1"/>
  <c r="L271" i="1"/>
  <c r="U270" i="1"/>
  <c r="V270" i="1" s="1"/>
  <c r="W269" i="1"/>
  <c r="P269" i="1" s="1"/>
  <c r="AL271" i="1" l="1"/>
  <c r="AM272" i="1"/>
  <c r="AI272" i="1"/>
  <c r="AQ274" i="1"/>
  <c r="M272" i="1"/>
  <c r="N272" i="1"/>
  <c r="AN270" i="1"/>
  <c r="AP270" i="1" s="1"/>
  <c r="AG271" i="1"/>
  <c r="AH271" i="1"/>
  <c r="Y273" i="1"/>
  <c r="D273" i="1"/>
  <c r="E274" i="1"/>
  <c r="AE274" i="1" s="1"/>
  <c r="AD274" i="1" s="1"/>
  <c r="L272" i="1"/>
  <c r="AA273" i="1"/>
  <c r="Z273" i="1" s="1"/>
  <c r="AM273" i="1" s="1"/>
  <c r="C274" i="1"/>
  <c r="AC274" i="1" s="1"/>
  <c r="J272" i="1"/>
  <c r="H272" i="1"/>
  <c r="G272" i="1"/>
  <c r="K272" i="1"/>
  <c r="T272" i="1"/>
  <c r="S272" i="1"/>
  <c r="U271" i="1"/>
  <c r="V271" i="1" s="1"/>
  <c r="W270" i="1"/>
  <c r="P270" i="1" s="1"/>
  <c r="AH272" i="1" l="1"/>
  <c r="AG272" i="1"/>
  <c r="AN271" i="1"/>
  <c r="AP271" i="1" s="1"/>
  <c r="L273" i="1"/>
  <c r="N273" i="1"/>
  <c r="AL272" i="1"/>
  <c r="AK273" i="1"/>
  <c r="AI273" i="1"/>
  <c r="AQ275" i="1"/>
  <c r="T273" i="1"/>
  <c r="M273" i="1"/>
  <c r="AA274" i="1"/>
  <c r="Z274" i="1" s="1"/>
  <c r="AK274" i="1" s="1"/>
  <c r="C275" i="1"/>
  <c r="AC275" i="1" s="1"/>
  <c r="D274" i="1"/>
  <c r="Y274" i="1"/>
  <c r="E275" i="1"/>
  <c r="AE275" i="1" s="1"/>
  <c r="AD275" i="1" s="1"/>
  <c r="S273" i="1"/>
  <c r="G273" i="1"/>
  <c r="K273" i="1"/>
  <c r="H273" i="1"/>
  <c r="J273" i="1"/>
  <c r="U272" i="1"/>
  <c r="V272" i="1" s="1"/>
  <c r="W271" i="1"/>
  <c r="P271" i="1" s="1"/>
  <c r="AL273" i="1" l="1"/>
  <c r="S274" i="1"/>
  <c r="AM274" i="1"/>
  <c r="AQ276" i="1"/>
  <c r="L274" i="1"/>
  <c r="N274" i="1"/>
  <c r="AI274" i="1"/>
  <c r="AN272" i="1"/>
  <c r="AP272" i="1" s="1"/>
  <c r="AH273" i="1"/>
  <c r="AG273" i="1"/>
  <c r="M274" i="1"/>
  <c r="Z275" i="1"/>
  <c r="AI275" i="1" s="1"/>
  <c r="AA275" i="1"/>
  <c r="C276" i="1"/>
  <c r="AC276" i="1" s="1"/>
  <c r="D275" i="1"/>
  <c r="Y275" i="1"/>
  <c r="E276" i="1"/>
  <c r="AE276" i="1" s="1"/>
  <c r="AD276" i="1" s="1"/>
  <c r="K274" i="1"/>
  <c r="G274" i="1"/>
  <c r="H274" i="1"/>
  <c r="J274" i="1"/>
  <c r="T274" i="1"/>
  <c r="U273" i="1"/>
  <c r="V273" i="1" s="1"/>
  <c r="W272" i="1"/>
  <c r="P272" i="1" s="1"/>
  <c r="T275" i="1" l="1"/>
  <c r="AQ277" i="1"/>
  <c r="AK275" i="1"/>
  <c r="S275" i="1"/>
  <c r="N275" i="1"/>
  <c r="AH274" i="1"/>
  <c r="AG274" i="1"/>
  <c r="AN273" i="1"/>
  <c r="AP273" i="1" s="1"/>
  <c r="AM275" i="1"/>
  <c r="AL274" i="1"/>
  <c r="AA276" i="1"/>
  <c r="C277" i="1"/>
  <c r="AC277" i="1" s="1"/>
  <c r="Z276" i="1"/>
  <c r="N276" i="1" s="1"/>
  <c r="D276" i="1"/>
  <c r="Y276" i="1"/>
  <c r="E277" i="1"/>
  <c r="AE277" i="1" s="1"/>
  <c r="AD277" i="1" s="1"/>
  <c r="G275" i="1"/>
  <c r="J275" i="1"/>
  <c r="H275" i="1"/>
  <c r="M275" i="1"/>
  <c r="L275" i="1"/>
  <c r="K275" i="1"/>
  <c r="U274" i="1"/>
  <c r="V274" i="1" s="1"/>
  <c r="W273" i="1"/>
  <c r="P273" i="1" s="1"/>
  <c r="AL275" i="1" l="1"/>
  <c r="AM276" i="1"/>
  <c r="AI276" i="1"/>
  <c r="AK276" i="1"/>
  <c r="AG275" i="1"/>
  <c r="AN274" i="1"/>
  <c r="AP274" i="1" s="1"/>
  <c r="AH275" i="1"/>
  <c r="AQ278" i="1"/>
  <c r="E278" i="1"/>
  <c r="AE278" i="1" s="1"/>
  <c r="AD278" i="1" s="1"/>
  <c r="Y277" i="1"/>
  <c r="D277" i="1"/>
  <c r="G276" i="1"/>
  <c r="J276" i="1"/>
  <c r="H276" i="1"/>
  <c r="M276" i="1"/>
  <c r="K276" i="1"/>
  <c r="L276" i="1"/>
  <c r="AA277" i="1"/>
  <c r="Z277" i="1" s="1"/>
  <c r="AI277" i="1" s="1"/>
  <c r="C278" i="1"/>
  <c r="AC278" i="1" s="1"/>
  <c r="S276" i="1"/>
  <c r="T276" i="1"/>
  <c r="U275" i="1"/>
  <c r="V275" i="1" s="1"/>
  <c r="W274" i="1"/>
  <c r="P274" i="1" s="1"/>
  <c r="L277" i="1" l="1"/>
  <c r="N277" i="1"/>
  <c r="AQ279" i="1"/>
  <c r="AH276" i="1"/>
  <c r="AG276" i="1"/>
  <c r="AN275" i="1"/>
  <c r="AP275" i="1" s="1"/>
  <c r="AM277" i="1"/>
  <c r="AL276" i="1"/>
  <c r="AK277" i="1"/>
  <c r="S277" i="1"/>
  <c r="M277" i="1" s="1"/>
  <c r="K277" i="1"/>
  <c r="H277" i="1"/>
  <c r="J277" i="1"/>
  <c r="G277" i="1"/>
  <c r="Z278" i="1"/>
  <c r="T277" i="1"/>
  <c r="AA278" i="1"/>
  <c r="C279" i="1"/>
  <c r="AC279" i="1" s="1"/>
  <c r="E279" i="1"/>
  <c r="AE279" i="1" s="1"/>
  <c r="AD279" i="1" s="1"/>
  <c r="D278" i="1"/>
  <c r="Y278" i="1"/>
  <c r="W275" i="1"/>
  <c r="P275" i="1" s="1"/>
  <c r="U276" i="1"/>
  <c r="V276" i="1" s="1"/>
  <c r="AL277" i="1" l="1"/>
  <c r="AH277" i="1"/>
  <c r="AG277" i="1"/>
  <c r="AN276" i="1"/>
  <c r="AP276" i="1" s="1"/>
  <c r="L278" i="1"/>
  <c r="N278" i="1"/>
  <c r="AQ280" i="1"/>
  <c r="AI278" i="1"/>
  <c r="AK278" i="1"/>
  <c r="AM278" i="1"/>
  <c r="AA279" i="1"/>
  <c r="Z279" i="1" s="1"/>
  <c r="N279" i="1" s="1"/>
  <c r="C280" i="1"/>
  <c r="AC280" i="1" s="1"/>
  <c r="G278" i="1"/>
  <c r="H278" i="1"/>
  <c r="K278" i="1"/>
  <c r="J278" i="1"/>
  <c r="M278" i="1"/>
  <c r="D279" i="1"/>
  <c r="Y279" i="1"/>
  <c r="E280" i="1"/>
  <c r="AE280" i="1" s="1"/>
  <c r="AD280" i="1" s="1"/>
  <c r="T278" i="1"/>
  <c r="S278" i="1"/>
  <c r="U277" i="1"/>
  <c r="V277" i="1" s="1"/>
  <c r="W276" i="1"/>
  <c r="P276" i="1" s="1"/>
  <c r="AL278" i="1" l="1"/>
  <c r="T279" i="1"/>
  <c r="AI279" i="1"/>
  <c r="AK279" i="1"/>
  <c r="L279" i="1"/>
  <c r="AH278" i="1"/>
  <c r="AG278" i="1"/>
  <c r="AN277" i="1"/>
  <c r="AP277" i="1" s="1"/>
  <c r="AM279" i="1"/>
  <c r="M279" i="1"/>
  <c r="AQ281" i="1"/>
  <c r="S279" i="1"/>
  <c r="Y280" i="1"/>
  <c r="E281" i="1"/>
  <c r="AE281" i="1" s="1"/>
  <c r="AD281" i="1" s="1"/>
  <c r="D280" i="1"/>
  <c r="C281" i="1"/>
  <c r="AC281" i="1" s="1"/>
  <c r="AA280" i="1"/>
  <c r="Z280" i="1" s="1"/>
  <c r="N280" i="1" s="1"/>
  <c r="K279" i="1"/>
  <c r="G279" i="1"/>
  <c r="H279" i="1"/>
  <c r="J279" i="1"/>
  <c r="W277" i="1"/>
  <c r="P277" i="1" s="1"/>
  <c r="U278" i="1"/>
  <c r="V278" i="1" s="1"/>
  <c r="AQ282" i="1" l="1"/>
  <c r="AH279" i="1"/>
  <c r="AN278" i="1"/>
  <c r="AP278" i="1" s="1"/>
  <c r="AG279" i="1"/>
  <c r="AM280" i="1"/>
  <c r="AK280" i="1"/>
  <c r="AI280" i="1"/>
  <c r="AL279" i="1"/>
  <c r="C282" i="1"/>
  <c r="AC282" i="1" s="1"/>
  <c r="AA281" i="1"/>
  <c r="Z281" i="1" s="1"/>
  <c r="N281" i="1" s="1"/>
  <c r="G280" i="1"/>
  <c r="H280" i="1"/>
  <c r="J280" i="1"/>
  <c r="K280" i="1"/>
  <c r="E282" i="1"/>
  <c r="AE282" i="1" s="1"/>
  <c r="AD282" i="1" s="1"/>
  <c r="D281" i="1"/>
  <c r="Y281" i="1"/>
  <c r="T280" i="1"/>
  <c r="U279" i="1"/>
  <c r="V279" i="1" s="1"/>
  <c r="W278" i="1"/>
  <c r="P278" i="1" s="1"/>
  <c r="AK281" i="1" l="1"/>
  <c r="AM281" i="1"/>
  <c r="AI281" i="1"/>
  <c r="AG280" i="1"/>
  <c r="AN279" i="1"/>
  <c r="AP279" i="1" s="1"/>
  <c r="AH280" i="1"/>
  <c r="AQ283" i="1"/>
  <c r="H281" i="1"/>
  <c r="K281" i="1"/>
  <c r="G281" i="1"/>
  <c r="J281" i="1"/>
  <c r="L281" i="1"/>
  <c r="M281" i="1"/>
  <c r="T281" i="1"/>
  <c r="S280" i="1"/>
  <c r="L280" i="1"/>
  <c r="AA282" i="1"/>
  <c r="Z282" i="1" s="1"/>
  <c r="C283" i="1"/>
  <c r="AC283" i="1" s="1"/>
  <c r="D282" i="1"/>
  <c r="Y282" i="1"/>
  <c r="E283" i="1"/>
  <c r="AE283" i="1" s="1"/>
  <c r="AD283" i="1" s="1"/>
  <c r="U280" i="1"/>
  <c r="V280" i="1" s="1"/>
  <c r="W279" i="1"/>
  <c r="P279" i="1" s="1"/>
  <c r="L282" i="1" l="1"/>
  <c r="N282" i="1"/>
  <c r="AM282" i="1"/>
  <c r="AI282" i="1"/>
  <c r="AL280" i="1"/>
  <c r="AG281" i="1"/>
  <c r="AN280" i="1"/>
  <c r="AH281" i="1"/>
  <c r="AQ284" i="1"/>
  <c r="AK282" i="1"/>
  <c r="J282" i="1"/>
  <c r="K282" i="1"/>
  <c r="H282" i="1"/>
  <c r="G282" i="1"/>
  <c r="M282" i="1"/>
  <c r="C284" i="1"/>
  <c r="AC284" i="1" s="1"/>
  <c r="AA283" i="1"/>
  <c r="Z283" i="1" s="1"/>
  <c r="N283" i="1" s="1"/>
  <c r="T282" i="1"/>
  <c r="M280" i="1"/>
  <c r="S281" i="1"/>
  <c r="S282" i="1" s="1"/>
  <c r="D283" i="1"/>
  <c r="E284" i="1"/>
  <c r="AE284" i="1" s="1"/>
  <c r="AD284" i="1" s="1"/>
  <c r="Y283" i="1"/>
  <c r="W280" i="1"/>
  <c r="U281" i="1"/>
  <c r="V281" i="1" s="1"/>
  <c r="AQ285" i="1" l="1"/>
  <c r="AL281" i="1"/>
  <c r="AM283" i="1"/>
  <c r="AP280" i="1"/>
  <c r="AN281" i="1"/>
  <c r="AH282" i="1"/>
  <c r="AG282" i="1"/>
  <c r="AK283" i="1"/>
  <c r="AI283" i="1"/>
  <c r="P280" i="1"/>
  <c r="E285" i="1"/>
  <c r="AE285" i="1" s="1"/>
  <c r="AD285" i="1" s="1"/>
  <c r="Y284" i="1"/>
  <c r="D284" i="1"/>
  <c r="S283" i="1"/>
  <c r="M283" i="1" s="1"/>
  <c r="T283" i="1"/>
  <c r="L283" i="1"/>
  <c r="J283" i="1"/>
  <c r="G283" i="1"/>
  <c r="K283" i="1"/>
  <c r="H283" i="1"/>
  <c r="C285" i="1"/>
  <c r="AC285" i="1" s="1"/>
  <c r="AA284" i="1"/>
  <c r="Z284" i="1" s="1"/>
  <c r="N284" i="1" s="1"/>
  <c r="U282" i="1"/>
  <c r="V282" i="1" s="1"/>
  <c r="W281" i="1"/>
  <c r="P281" i="1" s="1"/>
  <c r="AM284" i="1" l="1"/>
  <c r="AP281" i="1"/>
  <c r="AI284" i="1"/>
  <c r="AK284" i="1"/>
  <c r="AL282" i="1"/>
  <c r="AN282" i="1"/>
  <c r="AG283" i="1"/>
  <c r="AH283" i="1"/>
  <c r="AQ286" i="1"/>
  <c r="C286" i="1"/>
  <c r="AC286" i="1" s="1"/>
  <c r="AA285" i="1"/>
  <c r="Z285" i="1" s="1"/>
  <c r="N285" i="1" s="1"/>
  <c r="L284" i="1"/>
  <c r="G284" i="1"/>
  <c r="J284" i="1"/>
  <c r="K284" i="1"/>
  <c r="H284" i="1"/>
  <c r="S284" i="1"/>
  <c r="T284" i="1"/>
  <c r="M284" i="1"/>
  <c r="E286" i="1"/>
  <c r="AE286" i="1" s="1"/>
  <c r="AD286" i="1" s="1"/>
  <c r="D285" i="1"/>
  <c r="Y285" i="1"/>
  <c r="U283" i="1"/>
  <c r="V283" i="1" s="1"/>
  <c r="W282" i="1"/>
  <c r="P282" i="1" s="1"/>
  <c r="T285" i="1" l="1"/>
  <c r="S285" i="1"/>
  <c r="AG284" i="1"/>
  <c r="AH284" i="1"/>
  <c r="AN283" i="1"/>
  <c r="AI285" i="1"/>
  <c r="AM285" i="1"/>
  <c r="AK285" i="1"/>
  <c r="AQ287" i="1"/>
  <c r="AP282" i="1"/>
  <c r="AL283" i="1"/>
  <c r="D286" i="1"/>
  <c r="E287" i="1"/>
  <c r="AE287" i="1" s="1"/>
  <c r="AD287" i="1" s="1"/>
  <c r="Y286" i="1"/>
  <c r="M285" i="1"/>
  <c r="K285" i="1"/>
  <c r="G285" i="1"/>
  <c r="H285" i="1"/>
  <c r="J285" i="1"/>
  <c r="L285" i="1"/>
  <c r="AA286" i="1"/>
  <c r="Z286" i="1" s="1"/>
  <c r="N286" i="1" s="1"/>
  <c r="C287" i="1"/>
  <c r="AC287" i="1" s="1"/>
  <c r="U284" i="1"/>
  <c r="V284" i="1" s="1"/>
  <c r="W283" i="1"/>
  <c r="P283" i="1" s="1"/>
  <c r="AQ288" i="1" l="1"/>
  <c r="AP283" i="1"/>
  <c r="AM286" i="1"/>
  <c r="AL284" i="1"/>
  <c r="AN284" i="1"/>
  <c r="AG285" i="1"/>
  <c r="AH285" i="1"/>
  <c r="AK286" i="1"/>
  <c r="AI286" i="1"/>
  <c r="J286" i="1"/>
  <c r="K286" i="1"/>
  <c r="H286" i="1"/>
  <c r="L286" i="1"/>
  <c r="G286" i="1"/>
  <c r="T286" i="1"/>
  <c r="S286" i="1"/>
  <c r="M286" i="1" s="1"/>
  <c r="AA287" i="1"/>
  <c r="Z287" i="1" s="1"/>
  <c r="C288" i="1"/>
  <c r="AC288" i="1" s="1"/>
  <c r="D287" i="1"/>
  <c r="E288" i="1"/>
  <c r="AE288" i="1" s="1"/>
  <c r="AD288" i="1" s="1"/>
  <c r="Y287" i="1"/>
  <c r="U285" i="1"/>
  <c r="V285" i="1" s="1"/>
  <c r="W284" i="1"/>
  <c r="P284" i="1" s="1"/>
  <c r="M287" i="1" l="1"/>
  <c r="N287" i="1"/>
  <c r="AM287" i="1"/>
  <c r="AL285" i="1"/>
  <c r="AQ289" i="1"/>
  <c r="AK287" i="1"/>
  <c r="AI287" i="1"/>
  <c r="AH286" i="1"/>
  <c r="AG286" i="1"/>
  <c r="AN285" i="1"/>
  <c r="AP284" i="1"/>
  <c r="D288" i="1"/>
  <c r="Y288" i="1"/>
  <c r="E289" i="1"/>
  <c r="AE289" i="1" s="1"/>
  <c r="AD289" i="1" s="1"/>
  <c r="AA288" i="1"/>
  <c r="Z288" i="1" s="1"/>
  <c r="N288" i="1" s="1"/>
  <c r="C289" i="1"/>
  <c r="AC289" i="1" s="1"/>
  <c r="S287" i="1"/>
  <c r="L287" i="1"/>
  <c r="H287" i="1"/>
  <c r="G287" i="1"/>
  <c r="J287" i="1"/>
  <c r="K287" i="1"/>
  <c r="T287" i="1"/>
  <c r="U286" i="1"/>
  <c r="V286" i="1" s="1"/>
  <c r="W285" i="1"/>
  <c r="P285" i="1" s="1"/>
  <c r="AP285" i="1" l="1"/>
  <c r="AG287" i="1"/>
  <c r="AN286" i="1"/>
  <c r="AH287" i="1"/>
  <c r="AM288" i="1"/>
  <c r="AK288" i="1"/>
  <c r="AQ290" i="1"/>
  <c r="AI288" i="1"/>
  <c r="AL286" i="1"/>
  <c r="AL287" i="1" s="1"/>
  <c r="G288" i="1"/>
  <c r="H288" i="1"/>
  <c r="J288" i="1"/>
  <c r="M288" i="1"/>
  <c r="L288" i="1"/>
  <c r="K288" i="1"/>
  <c r="T288" i="1"/>
  <c r="E290" i="1"/>
  <c r="AE290" i="1" s="1"/>
  <c r="AD290" i="1" s="1"/>
  <c r="D289" i="1"/>
  <c r="Y289" i="1"/>
  <c r="S288" i="1"/>
  <c r="AA289" i="1"/>
  <c r="Z289" i="1" s="1"/>
  <c r="N289" i="1" s="1"/>
  <c r="C290" i="1"/>
  <c r="AC290" i="1" s="1"/>
  <c r="U287" i="1"/>
  <c r="V287" i="1" s="1"/>
  <c r="W286" i="1"/>
  <c r="P286" i="1" s="1"/>
  <c r="AP286" i="1" l="1"/>
  <c r="AG288" i="1"/>
  <c r="AN287" i="1"/>
  <c r="AP287" i="1" s="1"/>
  <c r="AH288" i="1"/>
  <c r="AK289" i="1"/>
  <c r="AQ291" i="1"/>
  <c r="AI289" i="1"/>
  <c r="AL288" i="1"/>
  <c r="AM289" i="1"/>
  <c r="K289" i="1"/>
  <c r="H289" i="1"/>
  <c r="G289" i="1"/>
  <c r="J289" i="1"/>
  <c r="L289" i="1"/>
  <c r="E291" i="1"/>
  <c r="AE291" i="1" s="1"/>
  <c r="AD291" i="1" s="1"/>
  <c r="Y290" i="1"/>
  <c r="D290" i="1"/>
  <c r="S289" i="1"/>
  <c r="M289" i="1" s="1"/>
  <c r="T289" i="1"/>
  <c r="AA290" i="1"/>
  <c r="Z290" i="1" s="1"/>
  <c r="N290" i="1" s="1"/>
  <c r="C291" i="1"/>
  <c r="AC291" i="1" s="1"/>
  <c r="W287" i="1"/>
  <c r="P287" i="1" s="1"/>
  <c r="U288" i="1"/>
  <c r="V288" i="1" s="1"/>
  <c r="AK290" i="1" l="1"/>
  <c r="AI290" i="1"/>
  <c r="AM290" i="1"/>
  <c r="AL289" i="1"/>
  <c r="AG289" i="1"/>
  <c r="AH289" i="1"/>
  <c r="AN288" i="1"/>
  <c r="AP288" i="1" s="1"/>
  <c r="AQ292" i="1"/>
  <c r="K290" i="1"/>
  <c r="J290" i="1"/>
  <c r="G290" i="1"/>
  <c r="H290" i="1"/>
  <c r="L290" i="1"/>
  <c r="M290" i="1"/>
  <c r="S290" i="1"/>
  <c r="AA291" i="1"/>
  <c r="Z291" i="1" s="1"/>
  <c r="AK291" i="1" s="1"/>
  <c r="C292" i="1"/>
  <c r="AC292" i="1" s="1"/>
  <c r="T290" i="1"/>
  <c r="D291" i="1"/>
  <c r="Y291" i="1"/>
  <c r="E292" i="1"/>
  <c r="AE292" i="1" s="1"/>
  <c r="AD292" i="1" s="1"/>
  <c r="U289" i="1"/>
  <c r="V289" i="1" s="1"/>
  <c r="W288" i="1"/>
  <c r="P288" i="1" s="1"/>
  <c r="AL290" i="1" l="1"/>
  <c r="AQ293" i="1"/>
  <c r="AG290" i="1"/>
  <c r="AH290" i="1"/>
  <c r="AN289" i="1"/>
  <c r="AP289" i="1" s="1"/>
  <c r="AI291" i="1"/>
  <c r="AM291" i="1"/>
  <c r="M291" i="1"/>
  <c r="N291" i="1"/>
  <c r="S291" i="1"/>
  <c r="L291" i="1"/>
  <c r="H291" i="1"/>
  <c r="G291" i="1"/>
  <c r="K291" i="1"/>
  <c r="J291" i="1"/>
  <c r="D292" i="1"/>
  <c r="Y292" i="1"/>
  <c r="E293" i="1"/>
  <c r="AE293" i="1" s="1"/>
  <c r="AD293" i="1" s="1"/>
  <c r="T291" i="1"/>
  <c r="AA292" i="1"/>
  <c r="Z292" i="1" s="1"/>
  <c r="N292" i="1" s="1"/>
  <c r="C293" i="1"/>
  <c r="AC293" i="1" s="1"/>
  <c r="U290" i="1"/>
  <c r="V290" i="1" s="1"/>
  <c r="W289" i="1"/>
  <c r="P289" i="1" s="1"/>
  <c r="AL291" i="1" l="1"/>
  <c r="AH291" i="1"/>
  <c r="AN290" i="1"/>
  <c r="AP290" i="1" s="1"/>
  <c r="AG291" i="1"/>
  <c r="AI292" i="1"/>
  <c r="AK292" i="1"/>
  <c r="AM292" i="1"/>
  <c r="AQ294" i="1"/>
  <c r="Y293" i="1"/>
  <c r="D293" i="1"/>
  <c r="E294" i="1"/>
  <c r="AE294" i="1" s="1"/>
  <c r="AD294" i="1" s="1"/>
  <c r="AA293" i="1"/>
  <c r="Z293" i="1" s="1"/>
  <c r="AK293" i="1" s="1"/>
  <c r="C294" i="1"/>
  <c r="AC294" i="1" s="1"/>
  <c r="T292" i="1"/>
  <c r="G292" i="1"/>
  <c r="H292" i="1"/>
  <c r="J292" i="1"/>
  <c r="K292" i="1"/>
  <c r="U291" i="1"/>
  <c r="V291" i="1" s="1"/>
  <c r="W290" i="1"/>
  <c r="P290" i="1" s="1"/>
  <c r="AL292" i="1" l="1"/>
  <c r="AQ295" i="1"/>
  <c r="AN291" i="1"/>
  <c r="AP291" i="1" s="1"/>
  <c r="AG292" i="1"/>
  <c r="AH292" i="1"/>
  <c r="AM293" i="1"/>
  <c r="M293" i="1"/>
  <c r="N293" i="1"/>
  <c r="AI293" i="1"/>
  <c r="L293" i="1"/>
  <c r="AA294" i="1"/>
  <c r="Z294" i="1" s="1"/>
  <c r="N294" i="1" s="1"/>
  <c r="C295" i="1"/>
  <c r="AC295" i="1" s="1"/>
  <c r="E295" i="1"/>
  <c r="AE295" i="1" s="1"/>
  <c r="AD295" i="1" s="1"/>
  <c r="D294" i="1"/>
  <c r="Y294" i="1"/>
  <c r="S292" i="1"/>
  <c r="L292" i="1"/>
  <c r="T293" i="1"/>
  <c r="K293" i="1"/>
  <c r="G293" i="1"/>
  <c r="J293" i="1"/>
  <c r="H293" i="1"/>
  <c r="W291" i="1"/>
  <c r="P291" i="1" s="1"/>
  <c r="U292" i="1"/>
  <c r="V292" i="1" s="1"/>
  <c r="AL293" i="1" l="1"/>
  <c r="T294" i="1"/>
  <c r="AK294" i="1"/>
  <c r="AM294" i="1"/>
  <c r="AI294" i="1"/>
  <c r="AG293" i="1"/>
  <c r="AN292" i="1"/>
  <c r="AP292" i="1" s="1"/>
  <c r="AH293" i="1"/>
  <c r="AQ296" i="1"/>
  <c r="M292" i="1"/>
  <c r="S293" i="1"/>
  <c r="S294" i="1" s="1"/>
  <c r="D295" i="1"/>
  <c r="E296" i="1"/>
  <c r="AE296" i="1" s="1"/>
  <c r="AD296" i="1" s="1"/>
  <c r="Y295" i="1"/>
  <c r="H294" i="1"/>
  <c r="G294" i="1"/>
  <c r="J294" i="1"/>
  <c r="K294" i="1"/>
  <c r="L294" i="1"/>
  <c r="M294" i="1"/>
  <c r="AA295" i="1"/>
  <c r="Z295" i="1" s="1"/>
  <c r="N295" i="1" s="1"/>
  <c r="C296" i="1"/>
  <c r="AC296" i="1" s="1"/>
  <c r="U293" i="1"/>
  <c r="V293" i="1" s="1"/>
  <c r="W292" i="1"/>
  <c r="P292" i="1" l="1"/>
  <c r="AQ297" i="1"/>
  <c r="AN293" i="1"/>
  <c r="AP293" i="1" s="1"/>
  <c r="AH294" i="1"/>
  <c r="AG294" i="1"/>
  <c r="AK295" i="1"/>
  <c r="AI295" i="1"/>
  <c r="AM295" i="1"/>
  <c r="AL294" i="1"/>
  <c r="G295" i="1"/>
  <c r="J295" i="1"/>
  <c r="K295" i="1"/>
  <c r="H295" i="1"/>
  <c r="C297" i="1"/>
  <c r="AC297" i="1" s="1"/>
  <c r="AA296" i="1"/>
  <c r="Z296" i="1" s="1"/>
  <c r="N296" i="1" s="1"/>
  <c r="S295" i="1"/>
  <c r="M295" i="1" s="1"/>
  <c r="Y296" i="1"/>
  <c r="E297" i="1"/>
  <c r="AE297" i="1" s="1"/>
  <c r="AD297" i="1" s="1"/>
  <c r="D296" i="1"/>
  <c r="L295" i="1"/>
  <c r="T295" i="1"/>
  <c r="U294" i="1"/>
  <c r="V294" i="1" s="1"/>
  <c r="W293" i="1"/>
  <c r="P293" i="1" s="1"/>
  <c r="AL295" i="1" l="1"/>
  <c r="T296" i="1"/>
  <c r="AI296" i="1"/>
  <c r="AM296" i="1"/>
  <c r="AK296" i="1"/>
  <c r="AN294" i="1"/>
  <c r="AP294" i="1" s="1"/>
  <c r="AH295" i="1"/>
  <c r="AG295" i="1"/>
  <c r="AQ298" i="1"/>
  <c r="E298" i="1"/>
  <c r="AE298" i="1" s="1"/>
  <c r="AD298" i="1" s="1"/>
  <c r="D297" i="1"/>
  <c r="Y297" i="1"/>
  <c r="S296" i="1"/>
  <c r="K296" i="1"/>
  <c r="H296" i="1"/>
  <c r="J296" i="1"/>
  <c r="G296" i="1"/>
  <c r="C298" i="1"/>
  <c r="AC298" i="1" s="1"/>
  <c r="AA297" i="1"/>
  <c r="Z297" i="1"/>
  <c r="N297" i="1" s="1"/>
  <c r="M296" i="1"/>
  <c r="L296" i="1"/>
  <c r="U295" i="1"/>
  <c r="V295" i="1" s="1"/>
  <c r="W294" i="1"/>
  <c r="P294" i="1" s="1"/>
  <c r="AK297" i="1" l="1"/>
  <c r="AQ299" i="1"/>
  <c r="AI297" i="1"/>
  <c r="AG296" i="1"/>
  <c r="AN295" i="1"/>
  <c r="AP295" i="1" s="1"/>
  <c r="AH296" i="1"/>
  <c r="AM297" i="1"/>
  <c r="AL296" i="1"/>
  <c r="AL297" i="1" s="1"/>
  <c r="AA298" i="1"/>
  <c r="Z298" i="1" s="1"/>
  <c r="N298" i="1" s="1"/>
  <c r="C299" i="1"/>
  <c r="AC299" i="1" s="1"/>
  <c r="S297" i="1"/>
  <c r="D298" i="1"/>
  <c r="Y298" i="1"/>
  <c r="E299" i="1"/>
  <c r="AE299" i="1" s="1"/>
  <c r="AD299" i="1" s="1"/>
  <c r="H297" i="1"/>
  <c r="K297" i="1"/>
  <c r="G297" i="1"/>
  <c r="J297" i="1"/>
  <c r="M297" i="1"/>
  <c r="L297" i="1"/>
  <c r="T297" i="1"/>
  <c r="U296" i="1"/>
  <c r="V296" i="1" s="1"/>
  <c r="W295" i="1"/>
  <c r="P295" i="1" s="1"/>
  <c r="T298" i="1" l="1"/>
  <c r="AM298" i="1"/>
  <c r="AG297" i="1"/>
  <c r="AH297" i="1"/>
  <c r="AN296" i="1"/>
  <c r="AP296" i="1" s="1"/>
  <c r="AQ300" i="1"/>
  <c r="AI298" i="1"/>
  <c r="S298" i="1"/>
  <c r="M298" i="1" s="1"/>
  <c r="L298" i="1"/>
  <c r="AK298" i="1"/>
  <c r="D299" i="1"/>
  <c r="Y299" i="1"/>
  <c r="E300" i="1"/>
  <c r="AE300" i="1" s="1"/>
  <c r="AD300" i="1" s="1"/>
  <c r="Z299" i="1"/>
  <c r="N299" i="1" s="1"/>
  <c r="AA299" i="1"/>
  <c r="C300" i="1"/>
  <c r="AC300" i="1" s="1"/>
  <c r="K298" i="1"/>
  <c r="G298" i="1"/>
  <c r="H298" i="1"/>
  <c r="J298" i="1"/>
  <c r="W296" i="1"/>
  <c r="P296" i="1" s="1"/>
  <c r="U297" i="1"/>
  <c r="V297" i="1" s="1"/>
  <c r="AK299" i="1" l="1"/>
  <c r="AM299" i="1"/>
  <c r="AI299" i="1"/>
  <c r="AQ301" i="1"/>
  <c r="AH298" i="1"/>
  <c r="AG298" i="1"/>
  <c r="AN297" i="1"/>
  <c r="AP297" i="1" s="1"/>
  <c r="AL298" i="1"/>
  <c r="AA300" i="1"/>
  <c r="Z300" i="1" s="1"/>
  <c r="C301" i="1"/>
  <c r="AC301" i="1" s="1"/>
  <c r="H299" i="1"/>
  <c r="J299" i="1"/>
  <c r="K299" i="1"/>
  <c r="S299" i="1"/>
  <c r="L299" i="1"/>
  <c r="M299" i="1"/>
  <c r="G299" i="1"/>
  <c r="E301" i="1"/>
  <c r="AE301" i="1" s="1"/>
  <c r="AD301" i="1" s="1"/>
  <c r="D300" i="1"/>
  <c r="Y300" i="1"/>
  <c r="T299" i="1"/>
  <c r="U298" i="1"/>
  <c r="V298" i="1" s="1"/>
  <c r="W297" i="1"/>
  <c r="P297" i="1" s="1"/>
  <c r="T300" i="1" l="1"/>
  <c r="AL299" i="1"/>
  <c r="AQ302" i="1"/>
  <c r="L300" i="1"/>
  <c r="N300" i="1"/>
  <c r="AH299" i="1"/>
  <c r="AN298" i="1"/>
  <c r="AP298" i="1" s="1"/>
  <c r="AG299" i="1"/>
  <c r="AK300" i="1"/>
  <c r="AI300" i="1"/>
  <c r="AM300" i="1"/>
  <c r="M300" i="1"/>
  <c r="S300" i="1"/>
  <c r="E302" i="1"/>
  <c r="AE302" i="1" s="1"/>
  <c r="AD302" i="1" s="1"/>
  <c r="D301" i="1"/>
  <c r="Y301" i="1"/>
  <c r="AA301" i="1"/>
  <c r="Z301" i="1" s="1"/>
  <c r="N301" i="1" s="1"/>
  <c r="C302" i="1"/>
  <c r="AC302" i="1" s="1"/>
  <c r="K300" i="1"/>
  <c r="G300" i="1"/>
  <c r="H300" i="1"/>
  <c r="J300" i="1"/>
  <c r="W298" i="1"/>
  <c r="P298" i="1" s="1"/>
  <c r="U299" i="1"/>
  <c r="V299" i="1" s="1"/>
  <c r="AM301" i="1" l="1"/>
  <c r="AH300" i="1"/>
  <c r="AN299" i="1"/>
  <c r="AP299" i="1" s="1"/>
  <c r="AG300" i="1"/>
  <c r="AK301" i="1"/>
  <c r="AQ303" i="1"/>
  <c r="AI301" i="1"/>
  <c r="AL300" i="1"/>
  <c r="AL301" i="1" s="1"/>
  <c r="K301" i="1"/>
  <c r="G301" i="1"/>
  <c r="H301" i="1"/>
  <c r="J301" i="1"/>
  <c r="L301" i="1"/>
  <c r="S301" i="1"/>
  <c r="T301" i="1"/>
  <c r="C303" i="1"/>
  <c r="AC303" i="1" s="1"/>
  <c r="AA302" i="1"/>
  <c r="Z302" i="1" s="1"/>
  <c r="N302" i="1" s="1"/>
  <c r="E303" i="1"/>
  <c r="AE303" i="1" s="1"/>
  <c r="AD303" i="1" s="1"/>
  <c r="Y302" i="1"/>
  <c r="D302" i="1"/>
  <c r="U300" i="1"/>
  <c r="V300" i="1" s="1"/>
  <c r="W299" i="1"/>
  <c r="P299" i="1" s="1"/>
  <c r="AN300" i="1" l="1"/>
  <c r="AP300" i="1" s="1"/>
  <c r="AH301" i="1"/>
  <c r="AG301" i="1"/>
  <c r="AM302" i="1"/>
  <c r="AK302" i="1"/>
  <c r="AQ304" i="1"/>
  <c r="AI302" i="1"/>
  <c r="Z303" i="1"/>
  <c r="N303" i="1" s="1"/>
  <c r="AA303" i="1"/>
  <c r="C304" i="1"/>
  <c r="AC304" i="1" s="1"/>
  <c r="T302" i="1"/>
  <c r="G302" i="1"/>
  <c r="H302" i="1"/>
  <c r="M302" i="1"/>
  <c r="J302" i="1"/>
  <c r="K302" i="1"/>
  <c r="L302" i="1"/>
  <c r="M301" i="1"/>
  <c r="S302" i="1"/>
  <c r="Y303" i="1"/>
  <c r="E304" i="1"/>
  <c r="AE304" i="1" s="1"/>
  <c r="AD304" i="1" s="1"/>
  <c r="D303" i="1"/>
  <c r="W300" i="1"/>
  <c r="P300" i="1" s="1"/>
  <c r="U301" i="1"/>
  <c r="V301" i="1" s="1"/>
  <c r="AK303" i="1" l="1"/>
  <c r="AM303" i="1"/>
  <c r="AL302" i="1"/>
  <c r="AI303" i="1"/>
  <c r="AQ305" i="1"/>
  <c r="AN301" i="1"/>
  <c r="AP301" i="1" s="1"/>
  <c r="AG302" i="1"/>
  <c r="AH302" i="1"/>
  <c r="H303" i="1"/>
  <c r="G303" i="1"/>
  <c r="J303" i="1"/>
  <c r="K303" i="1"/>
  <c r="L303" i="1"/>
  <c r="M303" i="1"/>
  <c r="S303" i="1"/>
  <c r="AA304" i="1"/>
  <c r="Z304" i="1" s="1"/>
  <c r="AI304" i="1" s="1"/>
  <c r="C305" i="1"/>
  <c r="AC305" i="1" s="1"/>
  <c r="E305" i="1"/>
  <c r="AE305" i="1" s="1"/>
  <c r="AD305" i="1" s="1"/>
  <c r="Y304" i="1"/>
  <c r="D304" i="1"/>
  <c r="T303" i="1"/>
  <c r="U302" i="1"/>
  <c r="V302" i="1" s="1"/>
  <c r="W301" i="1"/>
  <c r="P301" i="1" s="1"/>
  <c r="T304" i="1" l="1"/>
  <c r="S304" i="1" s="1"/>
  <c r="M304" i="1" s="1"/>
  <c r="AG303" i="1"/>
  <c r="AH303" i="1"/>
  <c r="AN302" i="1"/>
  <c r="AP302" i="1" s="1"/>
  <c r="N304" i="1"/>
  <c r="AL303" i="1"/>
  <c r="AL304" i="1" s="1"/>
  <c r="AQ306" i="1"/>
  <c r="AM304" i="1"/>
  <c r="AK304" i="1"/>
  <c r="H304" i="1"/>
  <c r="J304" i="1"/>
  <c r="G304" i="1"/>
  <c r="K304" i="1"/>
  <c r="L304" i="1"/>
  <c r="Y305" i="1"/>
  <c r="D305" i="1"/>
  <c r="E306" i="1"/>
  <c r="AE306" i="1" s="1"/>
  <c r="AD306" i="1" s="1"/>
  <c r="AA305" i="1"/>
  <c r="Z305" i="1" s="1"/>
  <c r="C306" i="1"/>
  <c r="AC306" i="1" s="1"/>
  <c r="U303" i="1"/>
  <c r="V303" i="1" s="1"/>
  <c r="W302" i="1"/>
  <c r="P302" i="1" s="1"/>
  <c r="AQ307" i="1" l="1"/>
  <c r="L305" i="1"/>
  <c r="N305" i="1"/>
  <c r="AG304" i="1"/>
  <c r="AN303" i="1"/>
  <c r="AP303" i="1" s="1"/>
  <c r="AH304" i="1"/>
  <c r="AK305" i="1"/>
  <c r="AL305" i="1"/>
  <c r="AI305" i="1"/>
  <c r="AM305" i="1"/>
  <c r="H305" i="1"/>
  <c r="G305" i="1"/>
  <c r="J305" i="1"/>
  <c r="K305" i="1"/>
  <c r="S305" i="1"/>
  <c r="M305" i="1"/>
  <c r="AA306" i="1"/>
  <c r="Z306" i="1" s="1"/>
  <c r="C307" i="1"/>
  <c r="AC307" i="1" s="1"/>
  <c r="T305" i="1"/>
  <c r="Y306" i="1"/>
  <c r="E307" i="1"/>
  <c r="AE307" i="1" s="1"/>
  <c r="AD307" i="1" s="1"/>
  <c r="D306" i="1"/>
  <c r="U304" i="1"/>
  <c r="V304" i="1" s="1"/>
  <c r="W303" i="1"/>
  <c r="P303" i="1" s="1"/>
  <c r="S306" i="1" l="1"/>
  <c r="N306" i="1"/>
  <c r="AG305" i="1"/>
  <c r="AN304" i="1"/>
  <c r="AP304" i="1" s="1"/>
  <c r="AH305" i="1"/>
  <c r="AI306" i="1"/>
  <c r="AM306" i="1"/>
  <c r="AQ308" i="1"/>
  <c r="AK306" i="1"/>
  <c r="Y307" i="1"/>
  <c r="E308" i="1"/>
  <c r="AE308" i="1" s="1"/>
  <c r="AD308" i="1" s="1"/>
  <c r="D307" i="1"/>
  <c r="T306" i="1"/>
  <c r="M306" i="1"/>
  <c r="L306" i="1"/>
  <c r="AA307" i="1"/>
  <c r="Z307" i="1" s="1"/>
  <c r="C308" i="1"/>
  <c r="AC308" i="1" s="1"/>
  <c r="G306" i="1"/>
  <c r="H306" i="1"/>
  <c r="J306" i="1"/>
  <c r="K306" i="1"/>
  <c r="U305" i="1"/>
  <c r="V305" i="1" s="1"/>
  <c r="W304" i="1"/>
  <c r="P304" i="1" s="1"/>
  <c r="AG306" i="1" l="1"/>
  <c r="AH306" i="1"/>
  <c r="AN305" i="1"/>
  <c r="AP305" i="1" s="1"/>
  <c r="L307" i="1"/>
  <c r="N307" i="1"/>
  <c r="AM307" i="1"/>
  <c r="AQ309" i="1"/>
  <c r="AI307" i="1"/>
  <c r="AK307" i="1"/>
  <c r="AL306" i="1"/>
  <c r="S307" i="1"/>
  <c r="M307" i="1" s="1"/>
  <c r="AA308" i="1"/>
  <c r="Z308" i="1" s="1"/>
  <c r="AI308" i="1" s="1"/>
  <c r="C309" i="1"/>
  <c r="AC309" i="1" s="1"/>
  <c r="D308" i="1"/>
  <c r="E309" i="1"/>
  <c r="AE309" i="1" s="1"/>
  <c r="AD309" i="1" s="1"/>
  <c r="Y308" i="1"/>
  <c r="H307" i="1"/>
  <c r="J307" i="1"/>
  <c r="K307" i="1"/>
  <c r="G307" i="1"/>
  <c r="T307" i="1"/>
  <c r="U306" i="1"/>
  <c r="V306" i="1" s="1"/>
  <c r="W305" i="1"/>
  <c r="P305" i="1" s="1"/>
  <c r="AL307" i="1" l="1"/>
  <c r="AK308" i="1"/>
  <c r="AM308" i="1"/>
  <c r="T308" i="1"/>
  <c r="M308" i="1"/>
  <c r="N308" i="1"/>
  <c r="AQ310" i="1"/>
  <c r="AH307" i="1"/>
  <c r="AG307" i="1"/>
  <c r="AN306" i="1"/>
  <c r="AP306" i="1" s="1"/>
  <c r="E310" i="1"/>
  <c r="AE310" i="1" s="1"/>
  <c r="AD310" i="1" s="1"/>
  <c r="Y309" i="1"/>
  <c r="D309" i="1"/>
  <c r="AA309" i="1"/>
  <c r="Z309" i="1" s="1"/>
  <c r="N309" i="1" s="1"/>
  <c r="C310" i="1"/>
  <c r="AC310" i="1" s="1"/>
  <c r="L308" i="1"/>
  <c r="G308" i="1"/>
  <c r="K308" i="1"/>
  <c r="H308" i="1"/>
  <c r="J308" i="1"/>
  <c r="S308" i="1"/>
  <c r="U307" i="1"/>
  <c r="V307" i="1" s="1"/>
  <c r="W306" i="1"/>
  <c r="P306" i="1" s="1"/>
  <c r="AG308" i="1" l="1"/>
  <c r="AH308" i="1"/>
  <c r="AN307" i="1"/>
  <c r="AP307" i="1" s="1"/>
  <c r="AQ311" i="1"/>
  <c r="AM309" i="1"/>
  <c r="AK309" i="1"/>
  <c r="AL308" i="1"/>
  <c r="AI309" i="1"/>
  <c r="M309" i="1"/>
  <c r="K309" i="1"/>
  <c r="G309" i="1"/>
  <c r="H309" i="1"/>
  <c r="J309" i="1"/>
  <c r="L309" i="1"/>
  <c r="C311" i="1"/>
  <c r="AC311" i="1" s="1"/>
  <c r="AA310" i="1"/>
  <c r="Z310" i="1" s="1"/>
  <c r="N310" i="1" s="1"/>
  <c r="S309" i="1"/>
  <c r="E311" i="1"/>
  <c r="AE311" i="1" s="1"/>
  <c r="AD311" i="1" s="1"/>
  <c r="D310" i="1"/>
  <c r="Y310" i="1"/>
  <c r="T309" i="1"/>
  <c r="U308" i="1"/>
  <c r="V308" i="1" s="1"/>
  <c r="W307" i="1"/>
  <c r="P307" i="1" s="1"/>
  <c r="AL309" i="1" l="1"/>
  <c r="AK310" i="1"/>
  <c r="AI310" i="1"/>
  <c r="AQ312" i="1"/>
  <c r="AM310" i="1"/>
  <c r="AH309" i="1"/>
  <c r="AG309" i="1"/>
  <c r="AN308" i="1"/>
  <c r="AP308" i="1" s="1"/>
  <c r="T310" i="1"/>
  <c r="S310" i="1"/>
  <c r="M310" i="1" s="1"/>
  <c r="AA311" i="1"/>
  <c r="C312" i="1"/>
  <c r="AC312" i="1" s="1"/>
  <c r="Z311" i="1"/>
  <c r="AI311" i="1" s="1"/>
  <c r="D311" i="1"/>
  <c r="Y311" i="1"/>
  <c r="E312" i="1"/>
  <c r="AE312" i="1" s="1"/>
  <c r="AD312" i="1" s="1"/>
  <c r="L310" i="1"/>
  <c r="G310" i="1"/>
  <c r="H310" i="1"/>
  <c r="J310" i="1"/>
  <c r="K310" i="1"/>
  <c r="W308" i="1"/>
  <c r="P308" i="1" s="1"/>
  <c r="U309" i="1"/>
  <c r="V309" i="1" s="1"/>
  <c r="L311" i="1" l="1"/>
  <c r="AK311" i="1"/>
  <c r="AH310" i="1"/>
  <c r="AG310" i="1"/>
  <c r="AN309" i="1"/>
  <c r="AP309" i="1" s="1"/>
  <c r="M311" i="1"/>
  <c r="N311" i="1"/>
  <c r="AM311" i="1"/>
  <c r="AL310" i="1"/>
  <c r="AQ313" i="1"/>
  <c r="Y312" i="1"/>
  <c r="E313" i="1"/>
  <c r="AE313" i="1" s="1"/>
  <c r="AD313" i="1" s="1"/>
  <c r="D312" i="1"/>
  <c r="AA312" i="1"/>
  <c r="Z312" i="1" s="1"/>
  <c r="N312" i="1" s="1"/>
  <c r="C313" i="1"/>
  <c r="AC313" i="1" s="1"/>
  <c r="G311" i="1"/>
  <c r="H311" i="1"/>
  <c r="K311" i="1"/>
  <c r="J311" i="1"/>
  <c r="S311" i="1"/>
  <c r="T311" i="1"/>
  <c r="U310" i="1"/>
  <c r="V310" i="1" s="1"/>
  <c r="W309" i="1"/>
  <c r="P309" i="1" s="1"/>
  <c r="AL311" i="1" l="1"/>
  <c r="AM312" i="1"/>
  <c r="AI312" i="1"/>
  <c r="AG311" i="1"/>
  <c r="AN310" i="1"/>
  <c r="AP310" i="1" s="1"/>
  <c r="AH311" i="1"/>
  <c r="AQ314" i="1"/>
  <c r="AK312" i="1"/>
  <c r="S312" i="1"/>
  <c r="T312" i="1"/>
  <c r="M312" i="1"/>
  <c r="G312" i="1"/>
  <c r="H312" i="1"/>
  <c r="K312" i="1"/>
  <c r="J312" i="1"/>
  <c r="AA313" i="1"/>
  <c r="Z313" i="1" s="1"/>
  <c r="N313" i="1" s="1"/>
  <c r="C314" i="1"/>
  <c r="AC314" i="1" s="1"/>
  <c r="L312" i="1"/>
  <c r="E314" i="1"/>
  <c r="AE314" i="1" s="1"/>
  <c r="AD314" i="1" s="1"/>
  <c r="Y313" i="1"/>
  <c r="D313" i="1"/>
  <c r="W310" i="1"/>
  <c r="P310" i="1" s="1"/>
  <c r="U311" i="1"/>
  <c r="V311" i="1" s="1"/>
  <c r="AQ315" i="1" l="1"/>
  <c r="AN311" i="1"/>
  <c r="AP311" i="1" s="1"/>
  <c r="AG312" i="1"/>
  <c r="AH312" i="1"/>
  <c r="AK313" i="1"/>
  <c r="AL312" i="1"/>
  <c r="AM313" i="1"/>
  <c r="AI313" i="1"/>
  <c r="G313" i="1"/>
  <c r="H313" i="1"/>
  <c r="K313" i="1"/>
  <c r="L313" i="1"/>
  <c r="J313" i="1"/>
  <c r="Y314" i="1"/>
  <c r="E315" i="1"/>
  <c r="AE315" i="1" s="1"/>
  <c r="AD315" i="1" s="1"/>
  <c r="D314" i="1"/>
  <c r="T313" i="1"/>
  <c r="C315" i="1"/>
  <c r="AC315" i="1" s="1"/>
  <c r="AA314" i="1"/>
  <c r="Z314" i="1" s="1"/>
  <c r="N314" i="1" s="1"/>
  <c r="S313" i="1"/>
  <c r="U312" i="1"/>
  <c r="V312" i="1" s="1"/>
  <c r="W311" i="1"/>
  <c r="P311" i="1" s="1"/>
  <c r="AM314" i="1" l="1"/>
  <c r="AK314" i="1"/>
  <c r="AL313" i="1"/>
  <c r="AG313" i="1"/>
  <c r="AH313" i="1"/>
  <c r="AN312" i="1"/>
  <c r="AP312" i="1" s="1"/>
  <c r="AI314" i="1"/>
  <c r="AQ316" i="1"/>
  <c r="L314" i="1"/>
  <c r="G314" i="1"/>
  <c r="H314" i="1"/>
  <c r="K314" i="1"/>
  <c r="J314" i="1"/>
  <c r="M314" i="1"/>
  <c r="C316" i="1"/>
  <c r="AC316" i="1" s="1"/>
  <c r="AA315" i="1"/>
  <c r="Z315" i="1" s="1"/>
  <c r="N315" i="1" s="1"/>
  <c r="T314" i="1"/>
  <c r="S314" i="1"/>
  <c r="M313" i="1"/>
  <c r="D315" i="1"/>
  <c r="Y315" i="1"/>
  <c r="E316" i="1"/>
  <c r="AE316" i="1" s="1"/>
  <c r="AD316" i="1" s="1"/>
  <c r="U313" i="1"/>
  <c r="V313" i="1" s="1"/>
  <c r="W312" i="1"/>
  <c r="P312" i="1" s="1"/>
  <c r="AQ317" i="1" l="1"/>
  <c r="AK315" i="1"/>
  <c r="AM315" i="1"/>
  <c r="AI315" i="1"/>
  <c r="AG314" i="1"/>
  <c r="AH314" i="1"/>
  <c r="AN313" i="1"/>
  <c r="AP313" i="1" s="1"/>
  <c r="AL314" i="1"/>
  <c r="AL315" i="1" s="1"/>
  <c r="G315" i="1"/>
  <c r="J315" i="1"/>
  <c r="M315" i="1"/>
  <c r="H315" i="1"/>
  <c r="L315" i="1"/>
  <c r="K315" i="1"/>
  <c r="Y316" i="1"/>
  <c r="E317" i="1"/>
  <c r="AE317" i="1" s="1"/>
  <c r="AD317" i="1" s="1"/>
  <c r="D316" i="1"/>
  <c r="S315" i="1"/>
  <c r="AA316" i="1"/>
  <c r="Z316" i="1" s="1"/>
  <c r="N316" i="1" s="1"/>
  <c r="C317" i="1"/>
  <c r="AC317" i="1" s="1"/>
  <c r="T315" i="1"/>
  <c r="U314" i="1"/>
  <c r="V314" i="1" s="1"/>
  <c r="W313" i="1"/>
  <c r="P313" i="1" s="1"/>
  <c r="AI316" i="1" l="1"/>
  <c r="AN314" i="1"/>
  <c r="AP314" i="1" s="1"/>
  <c r="AG315" i="1"/>
  <c r="AH315" i="1"/>
  <c r="AK316" i="1"/>
  <c r="AM316" i="1"/>
  <c r="AQ318" i="1"/>
  <c r="G316" i="1"/>
  <c r="H316" i="1"/>
  <c r="J316" i="1"/>
  <c r="K316" i="1"/>
  <c r="T316" i="1"/>
  <c r="C318" i="1"/>
  <c r="AC318" i="1" s="1"/>
  <c r="AA317" i="1"/>
  <c r="Z317" i="1" s="1"/>
  <c r="N317" i="1" s="1"/>
  <c r="Y317" i="1"/>
  <c r="D317" i="1"/>
  <c r="E318" i="1"/>
  <c r="AE318" i="1" s="1"/>
  <c r="AD318" i="1" s="1"/>
  <c r="W314" i="1"/>
  <c r="P314" i="1" s="1"/>
  <c r="U315" i="1"/>
  <c r="V315" i="1" s="1"/>
  <c r="AH316" i="1" l="1"/>
  <c r="AN315" i="1"/>
  <c r="AP315" i="1" s="1"/>
  <c r="AG316" i="1"/>
  <c r="AQ319" i="1"/>
  <c r="AI317" i="1"/>
  <c r="AM317" i="1"/>
  <c r="AK317" i="1"/>
  <c r="K317" i="1"/>
  <c r="G317" i="1"/>
  <c r="H317" i="1"/>
  <c r="J317" i="1"/>
  <c r="L317" i="1"/>
  <c r="M317" i="1"/>
  <c r="Y318" i="1"/>
  <c r="D318" i="1"/>
  <c r="E319" i="1"/>
  <c r="AE319" i="1" s="1"/>
  <c r="AD319" i="1" s="1"/>
  <c r="T317" i="1"/>
  <c r="L316" i="1"/>
  <c r="S316" i="1"/>
  <c r="AA318" i="1"/>
  <c r="Z318" i="1" s="1"/>
  <c r="N318" i="1" s="1"/>
  <c r="C319" i="1"/>
  <c r="AC319" i="1" s="1"/>
  <c r="U316" i="1"/>
  <c r="V316" i="1" s="1"/>
  <c r="W315" i="1"/>
  <c r="P315" i="1" s="1"/>
  <c r="AQ320" i="1" l="1"/>
  <c r="AI318" i="1"/>
  <c r="AK318" i="1"/>
  <c r="AM318" i="1"/>
  <c r="AL316" i="1"/>
  <c r="AN316" i="1"/>
  <c r="AG317" i="1"/>
  <c r="AH317" i="1"/>
  <c r="M316" i="1"/>
  <c r="S317" i="1"/>
  <c r="S318" i="1" s="1"/>
  <c r="L318" i="1"/>
  <c r="G318" i="1"/>
  <c r="J318" i="1"/>
  <c r="K318" i="1"/>
  <c r="H318" i="1"/>
  <c r="AA319" i="1"/>
  <c r="Z319" i="1" s="1"/>
  <c r="N319" i="1" s="1"/>
  <c r="C320" i="1"/>
  <c r="AC320" i="1" s="1"/>
  <c r="T318" i="1"/>
  <c r="D319" i="1"/>
  <c r="E320" i="1"/>
  <c r="AE320" i="1" s="1"/>
  <c r="AD320" i="1" s="1"/>
  <c r="Y319" i="1"/>
  <c r="M318" i="1"/>
  <c r="W316" i="1"/>
  <c r="U317" i="1"/>
  <c r="V317" i="1" s="1"/>
  <c r="P316" i="1" l="1"/>
  <c r="AP316" i="1"/>
  <c r="AL317" i="1"/>
  <c r="AM319" i="1"/>
  <c r="AQ321" i="1"/>
  <c r="AK319" i="1"/>
  <c r="AH318" i="1"/>
  <c r="AN317" i="1"/>
  <c r="AG318" i="1"/>
  <c r="AI319" i="1"/>
  <c r="K319" i="1"/>
  <c r="G319" i="1"/>
  <c r="L319" i="1"/>
  <c r="H319" i="1"/>
  <c r="J319" i="1"/>
  <c r="S319" i="1"/>
  <c r="M319" i="1" s="1"/>
  <c r="D320" i="1"/>
  <c r="E321" i="1"/>
  <c r="AE321" i="1" s="1"/>
  <c r="AD321" i="1" s="1"/>
  <c r="Y320" i="1"/>
  <c r="T319" i="1"/>
  <c r="AA320" i="1"/>
  <c r="Z320" i="1" s="1"/>
  <c r="N320" i="1" s="1"/>
  <c r="C321" i="1"/>
  <c r="AC321" i="1" s="1"/>
  <c r="U318" i="1"/>
  <c r="V318" i="1" s="1"/>
  <c r="W317" i="1"/>
  <c r="P317" i="1" s="1"/>
  <c r="AP317" i="1" l="1"/>
  <c r="AN318" i="1"/>
  <c r="AG319" i="1"/>
  <c r="AH319" i="1"/>
  <c r="AQ322" i="1"/>
  <c r="AL318" i="1"/>
  <c r="AL319" i="1" s="1"/>
  <c r="AK320" i="1"/>
  <c r="AM320" i="1"/>
  <c r="AI320" i="1"/>
  <c r="T320" i="1"/>
  <c r="G320" i="1"/>
  <c r="J320" i="1"/>
  <c r="K320" i="1"/>
  <c r="H320" i="1"/>
  <c r="AA321" i="1"/>
  <c r="Z321" i="1" s="1"/>
  <c r="N321" i="1" s="1"/>
  <c r="C322" i="1"/>
  <c r="AC322" i="1" s="1"/>
  <c r="Y321" i="1"/>
  <c r="E322" i="1"/>
  <c r="AE322" i="1" s="1"/>
  <c r="AD322" i="1" s="1"/>
  <c r="D321" i="1"/>
  <c r="S320" i="1"/>
  <c r="L320" i="1"/>
  <c r="M320" i="1"/>
  <c r="U319" i="1"/>
  <c r="V319" i="1" s="1"/>
  <c r="W318" i="1"/>
  <c r="P318" i="1" s="1"/>
  <c r="AN319" i="1" l="1"/>
  <c r="AP319" i="1" s="1"/>
  <c r="AH320" i="1"/>
  <c r="AG320" i="1"/>
  <c r="AI321" i="1"/>
  <c r="AM321" i="1"/>
  <c r="AK321" i="1"/>
  <c r="AP318" i="1"/>
  <c r="AQ323" i="1"/>
  <c r="AL320" i="1"/>
  <c r="AL321" i="1" s="1"/>
  <c r="K321" i="1"/>
  <c r="G321" i="1"/>
  <c r="M321" i="1"/>
  <c r="J321" i="1"/>
  <c r="H321" i="1"/>
  <c r="L321" i="1"/>
  <c r="S321" i="1"/>
  <c r="T321" i="1"/>
  <c r="D322" i="1"/>
  <c r="Y322" i="1"/>
  <c r="E323" i="1"/>
  <c r="AE323" i="1" s="1"/>
  <c r="AD323" i="1" s="1"/>
  <c r="AA322" i="1"/>
  <c r="Z322" i="1" s="1"/>
  <c r="N322" i="1" s="1"/>
  <c r="C323" i="1"/>
  <c r="AC323" i="1" s="1"/>
  <c r="U320" i="1"/>
  <c r="V320" i="1" s="1"/>
  <c r="W319" i="1"/>
  <c r="P319" i="1" s="1"/>
  <c r="AQ324" i="1" l="1"/>
  <c r="AK322" i="1"/>
  <c r="AM322" i="1"/>
  <c r="AG321" i="1"/>
  <c r="AN320" i="1"/>
  <c r="AP320" i="1" s="1"/>
  <c r="AH321" i="1"/>
  <c r="AI322" i="1"/>
  <c r="H322" i="1"/>
  <c r="G322" i="1"/>
  <c r="J322" i="1"/>
  <c r="K322" i="1"/>
  <c r="L322" i="1"/>
  <c r="AA323" i="1"/>
  <c r="Z323" i="1" s="1"/>
  <c r="N323" i="1" s="1"/>
  <c r="C324" i="1"/>
  <c r="AC324" i="1" s="1"/>
  <c r="T322" i="1"/>
  <c r="S322" i="1"/>
  <c r="M322" i="1" s="1"/>
  <c r="E324" i="1"/>
  <c r="AE324" i="1" s="1"/>
  <c r="AD324" i="1" s="1"/>
  <c r="Y323" i="1"/>
  <c r="D323" i="1"/>
  <c r="W320" i="1"/>
  <c r="P320" i="1" s="1"/>
  <c r="U321" i="1"/>
  <c r="V321" i="1" s="1"/>
  <c r="AG322" i="1" l="1"/>
  <c r="AH322" i="1"/>
  <c r="AN321" i="1"/>
  <c r="AP321" i="1" s="1"/>
  <c r="AL322" i="1"/>
  <c r="AK323" i="1"/>
  <c r="AM323" i="1"/>
  <c r="AI323" i="1"/>
  <c r="AQ325" i="1"/>
  <c r="H323" i="1"/>
  <c r="K323" i="1"/>
  <c r="G323" i="1"/>
  <c r="J323" i="1"/>
  <c r="L323" i="1"/>
  <c r="M323" i="1"/>
  <c r="S323" i="1"/>
  <c r="Y324" i="1"/>
  <c r="D324" i="1"/>
  <c r="E325" i="1"/>
  <c r="AE325" i="1" s="1"/>
  <c r="AD325" i="1" s="1"/>
  <c r="T323" i="1"/>
  <c r="C325" i="1"/>
  <c r="AC325" i="1" s="1"/>
  <c r="AA324" i="1"/>
  <c r="Z324" i="1" s="1"/>
  <c r="N324" i="1" s="1"/>
  <c r="U322" i="1"/>
  <c r="V322" i="1" s="1"/>
  <c r="W321" i="1"/>
  <c r="P321" i="1" s="1"/>
  <c r="AQ326" i="1" l="1"/>
  <c r="AL323" i="1"/>
  <c r="AK324" i="1"/>
  <c r="AI324" i="1"/>
  <c r="AM324" i="1"/>
  <c r="AN322" i="1"/>
  <c r="AP322" i="1" s="1"/>
  <c r="AH323" i="1"/>
  <c r="AG323" i="1"/>
  <c r="L324" i="1"/>
  <c r="K324" i="1"/>
  <c r="J324" i="1"/>
  <c r="G324" i="1"/>
  <c r="H324" i="1"/>
  <c r="M324" i="1"/>
  <c r="T324" i="1"/>
  <c r="C326" i="1"/>
  <c r="AC326" i="1" s="1"/>
  <c r="AA325" i="1"/>
  <c r="Z325" i="1" s="1"/>
  <c r="D325" i="1"/>
  <c r="E326" i="1"/>
  <c r="AE326" i="1" s="1"/>
  <c r="AD326" i="1" s="1"/>
  <c r="Y325" i="1"/>
  <c r="S324" i="1"/>
  <c r="U323" i="1"/>
  <c r="V323" i="1" s="1"/>
  <c r="W322" i="1"/>
  <c r="P322" i="1" s="1"/>
  <c r="AL324" i="1" l="1"/>
  <c r="L325" i="1"/>
  <c r="N325" i="1"/>
  <c r="AM325" i="1"/>
  <c r="AG324" i="1"/>
  <c r="AN323" i="1"/>
  <c r="AP323" i="1" s="1"/>
  <c r="AH324" i="1"/>
  <c r="AK325" i="1"/>
  <c r="AI325" i="1"/>
  <c r="AQ327" i="1"/>
  <c r="S325" i="1"/>
  <c r="M325" i="1" s="1"/>
  <c r="E327" i="1"/>
  <c r="AE327" i="1" s="1"/>
  <c r="AD327" i="1" s="1"/>
  <c r="D326" i="1"/>
  <c r="Y326" i="1"/>
  <c r="AA326" i="1"/>
  <c r="Z326" i="1" s="1"/>
  <c r="C327" i="1"/>
  <c r="AC327" i="1" s="1"/>
  <c r="T325" i="1"/>
  <c r="G325" i="1"/>
  <c r="H325" i="1"/>
  <c r="J325" i="1"/>
  <c r="K325" i="1"/>
  <c r="U324" i="1"/>
  <c r="V324" i="1" s="1"/>
  <c r="W323" i="1"/>
  <c r="P323" i="1" s="1"/>
  <c r="M326" i="1" l="1"/>
  <c r="N326" i="1"/>
  <c r="AL325" i="1"/>
  <c r="AK326" i="1"/>
  <c r="AQ328" i="1"/>
  <c r="AM326" i="1"/>
  <c r="AI326" i="1"/>
  <c r="AN324" i="1"/>
  <c r="AP324" i="1" s="1"/>
  <c r="AH325" i="1"/>
  <c r="AG325" i="1"/>
  <c r="T326" i="1"/>
  <c r="L326" i="1"/>
  <c r="H326" i="1"/>
  <c r="J326" i="1"/>
  <c r="K326" i="1"/>
  <c r="G326" i="1"/>
  <c r="S326" i="1"/>
  <c r="AA327" i="1"/>
  <c r="Z327" i="1" s="1"/>
  <c r="AI327" i="1" s="1"/>
  <c r="C328" i="1"/>
  <c r="AC328" i="1" s="1"/>
  <c r="Y327" i="1"/>
  <c r="E328" i="1"/>
  <c r="AE328" i="1" s="1"/>
  <c r="AD328" i="1" s="1"/>
  <c r="D327" i="1"/>
  <c r="U325" i="1"/>
  <c r="V325" i="1" s="1"/>
  <c r="W324" i="1"/>
  <c r="P324" i="1" s="1"/>
  <c r="L327" i="1" l="1"/>
  <c r="N327" i="1"/>
  <c r="AK327" i="1"/>
  <c r="AM327" i="1"/>
  <c r="AQ329" i="1"/>
  <c r="AG326" i="1"/>
  <c r="AN325" i="1"/>
  <c r="AP325" i="1" s="1"/>
  <c r="AH326" i="1"/>
  <c r="AL326" i="1"/>
  <c r="Y328" i="1"/>
  <c r="D328" i="1"/>
  <c r="E329" i="1"/>
  <c r="AE329" i="1" s="1"/>
  <c r="AD329" i="1" s="1"/>
  <c r="S327" i="1"/>
  <c r="AA328" i="1"/>
  <c r="Z328" i="1" s="1"/>
  <c r="N328" i="1" s="1"/>
  <c r="C329" i="1"/>
  <c r="AC329" i="1" s="1"/>
  <c r="T327" i="1"/>
  <c r="M327" i="1"/>
  <c r="G327" i="1"/>
  <c r="J327" i="1"/>
  <c r="K327" i="1"/>
  <c r="H327" i="1"/>
  <c r="U326" i="1"/>
  <c r="V326" i="1" s="1"/>
  <c r="W325" i="1"/>
  <c r="P325" i="1" s="1"/>
  <c r="AL327" i="1" l="1"/>
  <c r="AM328" i="1"/>
  <c r="AH327" i="1"/>
  <c r="AG327" i="1"/>
  <c r="AN326" i="1"/>
  <c r="AP326" i="1" s="1"/>
  <c r="AQ330" i="1"/>
  <c r="AI328" i="1"/>
  <c r="AK328" i="1"/>
  <c r="G328" i="1"/>
  <c r="H328" i="1"/>
  <c r="J328" i="1"/>
  <c r="K328" i="1"/>
  <c r="T328" i="1"/>
  <c r="D329" i="1"/>
  <c r="Y329" i="1"/>
  <c r="E330" i="1"/>
  <c r="AE330" i="1" s="1"/>
  <c r="AD330" i="1" s="1"/>
  <c r="Z329" i="1"/>
  <c r="N329" i="1" s="1"/>
  <c r="C330" i="1"/>
  <c r="AC330" i="1" s="1"/>
  <c r="AA329" i="1"/>
  <c r="U327" i="1"/>
  <c r="V327" i="1" s="1"/>
  <c r="W326" i="1"/>
  <c r="P326" i="1" s="1"/>
  <c r="AM329" i="1" l="1"/>
  <c r="AK329" i="1"/>
  <c r="AI329" i="1"/>
  <c r="AQ331" i="1"/>
  <c r="AL328" i="1"/>
  <c r="AH328" i="1"/>
  <c r="AG328" i="1"/>
  <c r="AN327" i="1"/>
  <c r="AP327" i="1" s="1"/>
  <c r="AA330" i="1"/>
  <c r="Z330" i="1" s="1"/>
  <c r="N330" i="1" s="1"/>
  <c r="C331" i="1"/>
  <c r="AC331" i="1" s="1"/>
  <c r="H329" i="1"/>
  <c r="L329" i="1"/>
  <c r="G329" i="1"/>
  <c r="J329" i="1"/>
  <c r="K329" i="1"/>
  <c r="M329" i="1"/>
  <c r="D330" i="1"/>
  <c r="Y330" i="1"/>
  <c r="E331" i="1"/>
  <c r="AE331" i="1" s="1"/>
  <c r="AD331" i="1" s="1"/>
  <c r="L328" i="1"/>
  <c r="S328" i="1"/>
  <c r="T329" i="1"/>
  <c r="U328" i="1"/>
  <c r="V328" i="1" s="1"/>
  <c r="W327" i="1"/>
  <c r="P327" i="1" s="1"/>
  <c r="AL329" i="1" l="1"/>
  <c r="T330" i="1"/>
  <c r="AH329" i="1"/>
  <c r="AG329" i="1"/>
  <c r="AN328" i="1"/>
  <c r="AP328" i="1" s="1"/>
  <c r="AI330" i="1"/>
  <c r="AK330" i="1"/>
  <c r="AM330" i="1"/>
  <c r="M330" i="1"/>
  <c r="AQ332" i="1"/>
  <c r="D331" i="1"/>
  <c r="Y331" i="1"/>
  <c r="E332" i="1"/>
  <c r="AE332" i="1" s="1"/>
  <c r="AD332" i="1" s="1"/>
  <c r="M328" i="1"/>
  <c r="S329" i="1"/>
  <c r="S330" i="1" s="1"/>
  <c r="AA331" i="1"/>
  <c r="Z331" i="1" s="1"/>
  <c r="C332" i="1"/>
  <c r="AC332" i="1" s="1"/>
  <c r="L330" i="1"/>
  <c r="K330" i="1"/>
  <c r="G330" i="1"/>
  <c r="J330" i="1"/>
  <c r="H330" i="1"/>
  <c r="U329" i="1"/>
  <c r="V329" i="1" s="1"/>
  <c r="W328" i="1"/>
  <c r="AL330" i="1" l="1"/>
  <c r="AK331" i="1"/>
  <c r="AQ333" i="1"/>
  <c r="AM331" i="1"/>
  <c r="S331" i="1"/>
  <c r="N331" i="1"/>
  <c r="AI331" i="1"/>
  <c r="AH330" i="1"/>
  <c r="AG330" i="1"/>
  <c r="AN329" i="1"/>
  <c r="AP329" i="1" s="1"/>
  <c r="M331" i="1"/>
  <c r="Z332" i="1"/>
  <c r="AK332" i="1" s="1"/>
  <c r="L331" i="1"/>
  <c r="C333" i="1"/>
  <c r="AC333" i="1" s="1"/>
  <c r="AA332" i="1"/>
  <c r="D332" i="1"/>
  <c r="Y332" i="1"/>
  <c r="E333" i="1"/>
  <c r="AE333" i="1" s="1"/>
  <c r="AD333" i="1" s="1"/>
  <c r="P328" i="1"/>
  <c r="G331" i="1"/>
  <c r="H331" i="1"/>
  <c r="J331" i="1"/>
  <c r="K331" i="1"/>
  <c r="T331" i="1"/>
  <c r="U330" i="1"/>
  <c r="V330" i="1" s="1"/>
  <c r="W329" i="1"/>
  <c r="P329" i="1" s="1"/>
  <c r="AM332" i="1" l="1"/>
  <c r="AH331" i="1"/>
  <c r="AG331" i="1"/>
  <c r="AN330" i="1"/>
  <c r="AP330" i="1" s="1"/>
  <c r="AI332" i="1"/>
  <c r="AQ334" i="1"/>
  <c r="S332" i="1"/>
  <c r="N332" i="1"/>
  <c r="T332" i="1"/>
  <c r="AL331" i="1"/>
  <c r="AL332" i="1" s="1"/>
  <c r="C334" i="1"/>
  <c r="AC334" i="1" s="1"/>
  <c r="AA333" i="1"/>
  <c r="Z333" i="1" s="1"/>
  <c r="AM333" i="1" s="1"/>
  <c r="Y333" i="1"/>
  <c r="D333" i="1"/>
  <c r="E334" i="1"/>
  <c r="AE334" i="1" s="1"/>
  <c r="AD334" i="1" s="1"/>
  <c r="K332" i="1"/>
  <c r="G332" i="1"/>
  <c r="H332" i="1"/>
  <c r="J332" i="1"/>
  <c r="M332" i="1"/>
  <c r="L332" i="1"/>
  <c r="U331" i="1"/>
  <c r="V331" i="1" s="1"/>
  <c r="W330" i="1"/>
  <c r="P330" i="1" s="1"/>
  <c r="AQ335" i="1" l="1"/>
  <c r="S333" i="1"/>
  <c r="N333" i="1"/>
  <c r="AK333" i="1"/>
  <c r="AI333" i="1"/>
  <c r="AN331" i="1"/>
  <c r="AP331" i="1" s="1"/>
  <c r="AG332" i="1"/>
  <c r="AH332" i="1"/>
  <c r="L333" i="1"/>
  <c r="M333" i="1"/>
  <c r="D334" i="1"/>
  <c r="Y334" i="1"/>
  <c r="E335" i="1"/>
  <c r="AE335" i="1" s="1"/>
  <c r="AD335" i="1" s="1"/>
  <c r="J333" i="1"/>
  <c r="G333" i="1"/>
  <c r="K333" i="1"/>
  <c r="H333" i="1"/>
  <c r="AA334" i="1"/>
  <c r="Z334" i="1" s="1"/>
  <c r="N334" i="1" s="1"/>
  <c r="C335" i="1"/>
  <c r="AC335" i="1" s="1"/>
  <c r="T333" i="1"/>
  <c r="W331" i="1"/>
  <c r="P331" i="1" s="1"/>
  <c r="U332" i="1"/>
  <c r="V332" i="1" s="1"/>
  <c r="AK334" i="1" l="1"/>
  <c r="AH333" i="1"/>
  <c r="AG333" i="1"/>
  <c r="AN332" i="1"/>
  <c r="AP332" i="1" s="1"/>
  <c r="AI334" i="1"/>
  <c r="AQ336" i="1"/>
  <c r="AM334" i="1"/>
  <c r="AL333" i="1"/>
  <c r="J334" i="1"/>
  <c r="K334" i="1"/>
  <c r="H334" i="1"/>
  <c r="G334" i="1"/>
  <c r="L334" i="1"/>
  <c r="S334" i="1"/>
  <c r="M334" i="1" s="1"/>
  <c r="AA335" i="1"/>
  <c r="Z335" i="1" s="1"/>
  <c r="C336" i="1"/>
  <c r="AC336" i="1" s="1"/>
  <c r="D335" i="1"/>
  <c r="Y335" i="1"/>
  <c r="E336" i="1"/>
  <c r="AE336" i="1" s="1"/>
  <c r="AD336" i="1" s="1"/>
  <c r="T334" i="1"/>
  <c r="U333" i="1"/>
  <c r="V333" i="1" s="1"/>
  <c r="W332" i="1"/>
  <c r="P332" i="1" s="1"/>
  <c r="AL334" i="1" l="1"/>
  <c r="M335" i="1"/>
  <c r="N335" i="1"/>
  <c r="AN333" i="1"/>
  <c r="AP333" i="1" s="1"/>
  <c r="AH334" i="1"/>
  <c r="AG334" i="1"/>
  <c r="AK335" i="1"/>
  <c r="AQ337" i="1"/>
  <c r="AM335" i="1"/>
  <c r="AI335" i="1"/>
  <c r="T335" i="1"/>
  <c r="D336" i="1"/>
  <c r="Y336" i="1"/>
  <c r="E337" i="1"/>
  <c r="AE337" i="1" s="1"/>
  <c r="AD337" i="1" s="1"/>
  <c r="L335" i="1"/>
  <c r="K335" i="1"/>
  <c r="G335" i="1"/>
  <c r="H335" i="1"/>
  <c r="J335" i="1"/>
  <c r="S335" i="1"/>
  <c r="AA336" i="1"/>
  <c r="Z336" i="1" s="1"/>
  <c r="N336" i="1" s="1"/>
  <c r="C337" i="1"/>
  <c r="AC337" i="1" s="1"/>
  <c r="W333" i="1"/>
  <c r="P333" i="1" s="1"/>
  <c r="U334" i="1"/>
  <c r="V334" i="1" s="1"/>
  <c r="AH335" i="1" l="1"/>
  <c r="AN334" i="1"/>
  <c r="AP334" i="1" s="1"/>
  <c r="AG335" i="1"/>
  <c r="AL335" i="1"/>
  <c r="AQ338" i="1"/>
  <c r="AM336" i="1"/>
  <c r="AK336" i="1"/>
  <c r="AI336" i="1"/>
  <c r="S336" i="1"/>
  <c r="G336" i="1"/>
  <c r="H336" i="1"/>
  <c r="J336" i="1"/>
  <c r="K336" i="1"/>
  <c r="M336" i="1"/>
  <c r="D337" i="1"/>
  <c r="Y337" i="1"/>
  <c r="E338" i="1"/>
  <c r="AE338" i="1" s="1"/>
  <c r="AD338" i="1" s="1"/>
  <c r="T336" i="1"/>
  <c r="L336" i="1"/>
  <c r="AA337" i="1"/>
  <c r="Z337" i="1" s="1"/>
  <c r="N337" i="1" s="1"/>
  <c r="C338" i="1"/>
  <c r="AC338" i="1" s="1"/>
  <c r="U335" i="1"/>
  <c r="V335" i="1" s="1"/>
  <c r="W334" i="1"/>
  <c r="P334" i="1" s="1"/>
  <c r="AM337" i="1" l="1"/>
  <c r="AK337" i="1"/>
  <c r="AI337" i="1"/>
  <c r="AQ339" i="1"/>
  <c r="AL336" i="1"/>
  <c r="AH336" i="1"/>
  <c r="AG336" i="1"/>
  <c r="AN335" i="1"/>
  <c r="AP335" i="1" s="1"/>
  <c r="J337" i="1"/>
  <c r="K337" i="1"/>
  <c r="G337" i="1"/>
  <c r="H337" i="1"/>
  <c r="L337" i="1"/>
  <c r="S337" i="1"/>
  <c r="E339" i="1"/>
  <c r="AE339" i="1" s="1"/>
  <c r="AD339" i="1" s="1"/>
  <c r="Y338" i="1"/>
  <c r="D338" i="1"/>
  <c r="C339" i="1"/>
  <c r="AC339" i="1" s="1"/>
  <c r="AA338" i="1"/>
  <c r="Z338" i="1" s="1"/>
  <c r="AK338" i="1" s="1"/>
  <c r="T337" i="1"/>
  <c r="U336" i="1"/>
  <c r="V336" i="1" s="1"/>
  <c r="W335" i="1"/>
  <c r="P335" i="1" s="1"/>
  <c r="AN336" i="1" l="1"/>
  <c r="AP336" i="1" s="1"/>
  <c r="AH337" i="1"/>
  <c r="AG337" i="1"/>
  <c r="AL337" i="1"/>
  <c r="AQ340" i="1"/>
  <c r="L338" i="1"/>
  <c r="N338" i="1"/>
  <c r="AM338" i="1"/>
  <c r="AI338" i="1"/>
  <c r="T338" i="1"/>
  <c r="S338" i="1"/>
  <c r="M337" i="1"/>
  <c r="J338" i="1"/>
  <c r="K338" i="1"/>
  <c r="H338" i="1"/>
  <c r="G338" i="1"/>
  <c r="AA339" i="1"/>
  <c r="Z339" i="1" s="1"/>
  <c r="N339" i="1" s="1"/>
  <c r="C340" i="1"/>
  <c r="AC340" i="1" s="1"/>
  <c r="E340" i="1"/>
  <c r="AE340" i="1" s="1"/>
  <c r="AD340" i="1" s="1"/>
  <c r="D339" i="1"/>
  <c r="Y339" i="1"/>
  <c r="M338" i="1"/>
  <c r="U337" i="1"/>
  <c r="V337" i="1" s="1"/>
  <c r="W336" i="1"/>
  <c r="P336" i="1" s="1"/>
  <c r="AL338" i="1" l="1"/>
  <c r="AK339" i="1"/>
  <c r="AN337" i="1"/>
  <c r="AP337" i="1" s="1"/>
  <c r="AH338" i="1"/>
  <c r="AG338" i="1"/>
  <c r="AM339" i="1"/>
  <c r="AI339" i="1"/>
  <c r="AQ341" i="1"/>
  <c r="J339" i="1"/>
  <c r="G339" i="1"/>
  <c r="H339" i="1"/>
  <c r="K339" i="1"/>
  <c r="M339" i="1"/>
  <c r="L339" i="1"/>
  <c r="S339" i="1"/>
  <c r="D340" i="1"/>
  <c r="Y340" i="1"/>
  <c r="E341" i="1"/>
  <c r="AE341" i="1" s="1"/>
  <c r="AD341" i="1" s="1"/>
  <c r="AA340" i="1"/>
  <c r="Z340" i="1" s="1"/>
  <c r="N340" i="1" s="1"/>
  <c r="C341" i="1"/>
  <c r="AC341" i="1" s="1"/>
  <c r="T339" i="1"/>
  <c r="U338" i="1"/>
  <c r="V338" i="1" s="1"/>
  <c r="W337" i="1"/>
  <c r="P337" i="1" s="1"/>
  <c r="AI340" i="1" l="1"/>
  <c r="AQ342" i="1"/>
  <c r="AM340" i="1"/>
  <c r="AK340" i="1"/>
  <c r="AN338" i="1"/>
  <c r="AP338" i="1" s="1"/>
  <c r="AH339" i="1"/>
  <c r="AG339" i="1"/>
  <c r="AL339" i="1"/>
  <c r="T340" i="1"/>
  <c r="AA341" i="1"/>
  <c r="Z341" i="1" s="1"/>
  <c r="N341" i="1" s="1"/>
  <c r="C342" i="1"/>
  <c r="AC342" i="1" s="1"/>
  <c r="G340" i="1"/>
  <c r="H340" i="1"/>
  <c r="K340" i="1"/>
  <c r="J340" i="1"/>
  <c r="D341" i="1"/>
  <c r="Y341" i="1"/>
  <c r="E342" i="1"/>
  <c r="AE342" i="1" s="1"/>
  <c r="AD342" i="1" s="1"/>
  <c r="U339" i="1"/>
  <c r="V339" i="1" s="1"/>
  <c r="W338" i="1"/>
  <c r="P338" i="1" s="1"/>
  <c r="AL340" i="1" l="1"/>
  <c r="AH340" i="1"/>
  <c r="AG340" i="1"/>
  <c r="AN339" i="1"/>
  <c r="AP339" i="1" s="1"/>
  <c r="AQ343" i="1"/>
  <c r="AK341" i="1"/>
  <c r="AM341" i="1"/>
  <c r="AI341" i="1"/>
  <c r="K341" i="1"/>
  <c r="H341" i="1"/>
  <c r="J341" i="1"/>
  <c r="G341" i="1"/>
  <c r="L341" i="1"/>
  <c r="M341" i="1"/>
  <c r="E343" i="1"/>
  <c r="AE343" i="1" s="1"/>
  <c r="AD343" i="1" s="1"/>
  <c r="Y342" i="1"/>
  <c r="D342" i="1"/>
  <c r="AA342" i="1"/>
  <c r="Z342" i="1" s="1"/>
  <c r="AK342" i="1" s="1"/>
  <c r="C343" i="1"/>
  <c r="AC343" i="1" s="1"/>
  <c r="L340" i="1"/>
  <c r="T341" i="1"/>
  <c r="S340" i="1"/>
  <c r="U340" i="1"/>
  <c r="V340" i="1" s="1"/>
  <c r="W339" i="1"/>
  <c r="P339" i="1" s="1"/>
  <c r="AL341" i="1" l="1"/>
  <c r="AM342" i="1"/>
  <c r="AQ344" i="1"/>
  <c r="AH341" i="1"/>
  <c r="AN340" i="1"/>
  <c r="AP340" i="1" s="1"/>
  <c r="AG341" i="1"/>
  <c r="M342" i="1"/>
  <c r="N342" i="1"/>
  <c r="AI342" i="1"/>
  <c r="T342" i="1"/>
  <c r="C344" i="1"/>
  <c r="AC344" i="1" s="1"/>
  <c r="AA343" i="1"/>
  <c r="Z343" i="1" s="1"/>
  <c r="M340" i="1"/>
  <c r="S341" i="1"/>
  <c r="S342" i="1" s="1"/>
  <c r="L342" i="1"/>
  <c r="H342" i="1"/>
  <c r="G342" i="1"/>
  <c r="J342" i="1"/>
  <c r="K342" i="1"/>
  <c r="D343" i="1"/>
  <c r="E344" i="1"/>
  <c r="AE344" i="1" s="1"/>
  <c r="AD344" i="1" s="1"/>
  <c r="Y343" i="1"/>
  <c r="W340" i="1"/>
  <c r="U341" i="1"/>
  <c r="V341" i="1" s="1"/>
  <c r="P340" i="1" l="1"/>
  <c r="AH342" i="1"/>
  <c r="AN341" i="1"/>
  <c r="AP341" i="1" s="1"/>
  <c r="AG342" i="1"/>
  <c r="L343" i="1"/>
  <c r="N343" i="1"/>
  <c r="AM343" i="1"/>
  <c r="AK343" i="1"/>
  <c r="AI343" i="1"/>
  <c r="AQ345" i="1"/>
  <c r="AL342" i="1"/>
  <c r="AL343" i="1" s="1"/>
  <c r="S343" i="1"/>
  <c r="M343" i="1" s="1"/>
  <c r="C345" i="1"/>
  <c r="AC345" i="1" s="1"/>
  <c r="AA344" i="1"/>
  <c r="Z344" i="1" s="1"/>
  <c r="AI344" i="1" s="1"/>
  <c r="Y344" i="1"/>
  <c r="D344" i="1"/>
  <c r="E345" i="1"/>
  <c r="AE345" i="1" s="1"/>
  <c r="AD345" i="1" s="1"/>
  <c r="G343" i="1"/>
  <c r="K343" i="1"/>
  <c r="H343" i="1"/>
  <c r="J343" i="1"/>
  <c r="T343" i="1"/>
  <c r="U342" i="1"/>
  <c r="V342" i="1" s="1"/>
  <c r="W341" i="1"/>
  <c r="P341" i="1" s="1"/>
  <c r="T344" i="1" l="1"/>
  <c r="AM344" i="1"/>
  <c r="AQ346" i="1"/>
  <c r="AK344" i="1"/>
  <c r="L344" i="1"/>
  <c r="N344" i="1"/>
  <c r="AG343" i="1"/>
  <c r="AN342" i="1"/>
  <c r="AP342" i="1" s="1"/>
  <c r="AH343" i="1"/>
  <c r="G344" i="1"/>
  <c r="H344" i="1"/>
  <c r="J344" i="1"/>
  <c r="K344" i="1"/>
  <c r="C346" i="1"/>
  <c r="AC346" i="1" s="1"/>
  <c r="AA345" i="1"/>
  <c r="Z345" i="1" s="1"/>
  <c r="N345" i="1" s="1"/>
  <c r="M344" i="1"/>
  <c r="D345" i="1"/>
  <c r="Y345" i="1"/>
  <c r="E346" i="1"/>
  <c r="AE346" i="1" s="1"/>
  <c r="AD346" i="1" s="1"/>
  <c r="S344" i="1"/>
  <c r="U343" i="1"/>
  <c r="V343" i="1" s="1"/>
  <c r="W342" i="1"/>
  <c r="P342" i="1" s="1"/>
  <c r="AG344" i="1" l="1"/>
  <c r="AN343" i="1"/>
  <c r="AP343" i="1" s="1"/>
  <c r="AH344" i="1"/>
  <c r="AM345" i="1"/>
  <c r="AK345" i="1"/>
  <c r="AI345" i="1"/>
  <c r="AL344" i="1"/>
  <c r="AQ347" i="1"/>
  <c r="G345" i="1"/>
  <c r="M345" i="1"/>
  <c r="K345" i="1"/>
  <c r="H345" i="1"/>
  <c r="J345" i="1"/>
  <c r="L345" i="1"/>
  <c r="T345" i="1"/>
  <c r="S345" i="1"/>
  <c r="AA346" i="1"/>
  <c r="Z346" i="1" s="1"/>
  <c r="N346" i="1" s="1"/>
  <c r="C347" i="1"/>
  <c r="AC347" i="1" s="1"/>
  <c r="E347" i="1"/>
  <c r="AE347" i="1" s="1"/>
  <c r="AD347" i="1" s="1"/>
  <c r="Y346" i="1"/>
  <c r="D346" i="1"/>
  <c r="U344" i="1"/>
  <c r="V344" i="1" s="1"/>
  <c r="W343" i="1"/>
  <c r="P343" i="1" s="1"/>
  <c r="AL345" i="1" l="1"/>
  <c r="AQ348" i="1"/>
  <c r="AI346" i="1"/>
  <c r="AM346" i="1"/>
  <c r="AK346" i="1"/>
  <c r="AG345" i="1"/>
  <c r="AN344" i="1"/>
  <c r="AP344" i="1" s="1"/>
  <c r="AH345" i="1"/>
  <c r="AA347" i="1"/>
  <c r="Z347" i="1" s="1"/>
  <c r="AI347" i="1" s="1"/>
  <c r="C348" i="1"/>
  <c r="AC348" i="1" s="1"/>
  <c r="J346" i="1"/>
  <c r="H346" i="1"/>
  <c r="G346" i="1"/>
  <c r="K346" i="1"/>
  <c r="L346" i="1"/>
  <c r="T346" i="1"/>
  <c r="Y347" i="1"/>
  <c r="E348" i="1"/>
  <c r="AE348" i="1" s="1"/>
  <c r="AD348" i="1" s="1"/>
  <c r="D347" i="1"/>
  <c r="S346" i="1"/>
  <c r="U345" i="1"/>
  <c r="V345" i="1" s="1"/>
  <c r="W344" i="1"/>
  <c r="P344" i="1" s="1"/>
  <c r="L347" i="1" l="1"/>
  <c r="T347" i="1"/>
  <c r="AL346" i="1"/>
  <c r="AM347" i="1"/>
  <c r="AK347" i="1"/>
  <c r="AH346" i="1"/>
  <c r="AG346" i="1"/>
  <c r="AN345" i="1"/>
  <c r="AP345" i="1" s="1"/>
  <c r="M347" i="1"/>
  <c r="N347" i="1"/>
  <c r="AQ349" i="1"/>
  <c r="M346" i="1"/>
  <c r="S347" i="1"/>
  <c r="AA348" i="1"/>
  <c r="Z348" i="1" s="1"/>
  <c r="N348" i="1" s="1"/>
  <c r="C349" i="1"/>
  <c r="AC349" i="1" s="1"/>
  <c r="Y348" i="1"/>
  <c r="E349" i="1"/>
  <c r="AE349" i="1" s="1"/>
  <c r="AD349" i="1" s="1"/>
  <c r="D348" i="1"/>
  <c r="J347" i="1"/>
  <c r="K347" i="1"/>
  <c r="G347" i="1"/>
  <c r="H347" i="1"/>
  <c r="W345" i="1"/>
  <c r="P345" i="1" s="1"/>
  <c r="U346" i="1"/>
  <c r="V346" i="1" s="1"/>
  <c r="AK348" i="1" l="1"/>
  <c r="AI348" i="1"/>
  <c r="AQ350" i="1"/>
  <c r="AM348" i="1"/>
  <c r="AN346" i="1"/>
  <c r="AP346" i="1" s="1"/>
  <c r="AG347" i="1"/>
  <c r="AH347" i="1"/>
  <c r="AL347" i="1"/>
  <c r="AL348" i="1" s="1"/>
  <c r="G348" i="1"/>
  <c r="H348" i="1"/>
  <c r="M348" i="1"/>
  <c r="J348" i="1"/>
  <c r="K348" i="1"/>
  <c r="L348" i="1"/>
  <c r="T348" i="1"/>
  <c r="E350" i="1"/>
  <c r="AE350" i="1" s="1"/>
  <c r="AD350" i="1" s="1"/>
  <c r="D349" i="1"/>
  <c r="Y349" i="1"/>
  <c r="C350" i="1"/>
  <c r="AC350" i="1" s="1"/>
  <c r="AA349" i="1"/>
  <c r="Z349" i="1" s="1"/>
  <c r="N349" i="1" s="1"/>
  <c r="S348" i="1"/>
  <c r="U347" i="1"/>
  <c r="V347" i="1" s="1"/>
  <c r="W346" i="1"/>
  <c r="P346" i="1" s="1"/>
  <c r="AH348" i="1" l="1"/>
  <c r="AG348" i="1"/>
  <c r="AN347" i="1"/>
  <c r="AP347" i="1" s="1"/>
  <c r="AM349" i="1"/>
  <c r="AK349" i="1"/>
  <c r="AI349" i="1"/>
  <c r="AQ351" i="1"/>
  <c r="L349" i="1"/>
  <c r="J349" i="1"/>
  <c r="K349" i="1"/>
  <c r="G349" i="1"/>
  <c r="H349" i="1"/>
  <c r="S349" i="1"/>
  <c r="M349" i="1" s="1"/>
  <c r="AA350" i="1"/>
  <c r="Z350" i="1" s="1"/>
  <c r="N350" i="1" s="1"/>
  <c r="C351" i="1"/>
  <c r="AC351" i="1" s="1"/>
  <c r="T349" i="1"/>
  <c r="E351" i="1"/>
  <c r="AE351" i="1" s="1"/>
  <c r="AD351" i="1" s="1"/>
  <c r="D350" i="1"/>
  <c r="Y350" i="1"/>
  <c r="W347" i="1"/>
  <c r="P347" i="1" s="1"/>
  <c r="U348" i="1"/>
  <c r="V348" i="1" s="1"/>
  <c r="AL349" i="1" l="1"/>
  <c r="AM350" i="1"/>
  <c r="AN348" i="1"/>
  <c r="AP348" i="1" s="1"/>
  <c r="AH349" i="1"/>
  <c r="AG349" i="1"/>
  <c r="AK350" i="1"/>
  <c r="AQ352" i="1"/>
  <c r="AI350" i="1"/>
  <c r="J350" i="1"/>
  <c r="G350" i="1"/>
  <c r="K350" i="1"/>
  <c r="H350" i="1"/>
  <c r="L350" i="1"/>
  <c r="S350" i="1"/>
  <c r="M350" i="1"/>
  <c r="D351" i="1"/>
  <c r="Y351" i="1"/>
  <c r="E352" i="1"/>
  <c r="AE352" i="1" s="1"/>
  <c r="AD352" i="1" s="1"/>
  <c r="T350" i="1"/>
  <c r="AA351" i="1"/>
  <c r="Z351" i="1" s="1"/>
  <c r="N351" i="1" s="1"/>
  <c r="C352" i="1"/>
  <c r="AC352" i="1" s="1"/>
  <c r="U349" i="1"/>
  <c r="V349" i="1" s="1"/>
  <c r="W348" i="1"/>
  <c r="P348" i="1" s="1"/>
  <c r="AI351" i="1" l="1"/>
  <c r="AQ353" i="1"/>
  <c r="AM351" i="1"/>
  <c r="AK351" i="1"/>
  <c r="AG350" i="1"/>
  <c r="AH350" i="1"/>
  <c r="AN349" i="1"/>
  <c r="AP349" i="1" s="1"/>
  <c r="AL350" i="1"/>
  <c r="T351" i="1"/>
  <c r="G351" i="1"/>
  <c r="H351" i="1"/>
  <c r="K351" i="1"/>
  <c r="J351" i="1"/>
  <c r="S351" i="1"/>
  <c r="L351" i="1"/>
  <c r="AA352" i="1"/>
  <c r="Z352" i="1" s="1"/>
  <c r="N352" i="1" s="1"/>
  <c r="C353" i="1"/>
  <c r="AC353" i="1" s="1"/>
  <c r="D352" i="1"/>
  <c r="Y352" i="1"/>
  <c r="E353" i="1"/>
  <c r="AE353" i="1" s="1"/>
  <c r="AD353" i="1" s="1"/>
  <c r="M351" i="1"/>
  <c r="W349" i="1"/>
  <c r="P349" i="1" s="1"/>
  <c r="U350" i="1"/>
  <c r="V350" i="1" s="1"/>
  <c r="AL351" i="1" l="1"/>
  <c r="AK352" i="1"/>
  <c r="AM352" i="1"/>
  <c r="AQ354" i="1"/>
  <c r="AI352" i="1"/>
  <c r="AN350" i="1"/>
  <c r="AP350" i="1" s="1"/>
  <c r="AH351" i="1"/>
  <c r="AG351" i="1"/>
  <c r="K352" i="1"/>
  <c r="G352" i="1"/>
  <c r="H352" i="1"/>
  <c r="J352" i="1"/>
  <c r="T352" i="1"/>
  <c r="AA353" i="1"/>
  <c r="Z353" i="1" s="1"/>
  <c r="C354" i="1"/>
  <c r="AC354" i="1" s="1"/>
  <c r="E354" i="1"/>
  <c r="AE354" i="1" s="1"/>
  <c r="AD354" i="1" s="1"/>
  <c r="Y353" i="1"/>
  <c r="D353" i="1"/>
  <c r="U351" i="1"/>
  <c r="V351" i="1" s="1"/>
  <c r="W350" i="1"/>
  <c r="P350" i="1" s="1"/>
  <c r="AN351" i="1" l="1"/>
  <c r="AP351" i="1" s="1"/>
  <c r="AH352" i="1"/>
  <c r="AG352" i="1"/>
  <c r="L353" i="1"/>
  <c r="N353" i="1"/>
  <c r="AK353" i="1"/>
  <c r="AI353" i="1"/>
  <c r="AM353" i="1"/>
  <c r="AQ355" i="1"/>
  <c r="E355" i="1"/>
  <c r="AE355" i="1" s="1"/>
  <c r="AD355" i="1" s="1"/>
  <c r="Y354" i="1"/>
  <c r="D354" i="1"/>
  <c r="M353" i="1"/>
  <c r="C355" i="1"/>
  <c r="AC355" i="1" s="1"/>
  <c r="AA354" i="1"/>
  <c r="Z354" i="1" s="1"/>
  <c r="N354" i="1" s="1"/>
  <c r="J353" i="1"/>
  <c r="K353" i="1"/>
  <c r="H353" i="1"/>
  <c r="G353" i="1"/>
  <c r="S352" i="1"/>
  <c r="T353" i="1"/>
  <c r="L352" i="1"/>
  <c r="U352" i="1"/>
  <c r="V352" i="1" s="1"/>
  <c r="W351" i="1"/>
  <c r="P351" i="1" s="1"/>
  <c r="AK354" i="1" l="1"/>
  <c r="AQ356" i="1"/>
  <c r="AI354" i="1"/>
  <c r="AM354" i="1"/>
  <c r="AL352" i="1"/>
  <c r="AG353" i="1"/>
  <c r="AN352" i="1"/>
  <c r="AH353" i="1"/>
  <c r="K354" i="1"/>
  <c r="G354" i="1"/>
  <c r="H354" i="1"/>
  <c r="J354" i="1"/>
  <c r="L354" i="1"/>
  <c r="M354" i="1"/>
  <c r="T354" i="1"/>
  <c r="S353" i="1"/>
  <c r="S354" i="1" s="1"/>
  <c r="M352" i="1"/>
  <c r="D355" i="1"/>
  <c r="Y355" i="1"/>
  <c r="E356" i="1"/>
  <c r="AE356" i="1" s="1"/>
  <c r="AD356" i="1" s="1"/>
  <c r="AA355" i="1"/>
  <c r="Z355" i="1" s="1"/>
  <c r="N355" i="1" s="1"/>
  <c r="C356" i="1"/>
  <c r="AC356" i="1" s="1"/>
  <c r="U353" i="1"/>
  <c r="V353" i="1" s="1"/>
  <c r="W352" i="1"/>
  <c r="AP352" i="1" l="1"/>
  <c r="AL353" i="1"/>
  <c r="AL354" i="1" s="1"/>
  <c r="AI355" i="1"/>
  <c r="AK355" i="1"/>
  <c r="AM355" i="1"/>
  <c r="AQ357" i="1"/>
  <c r="AH354" i="1"/>
  <c r="AG354" i="1"/>
  <c r="AN353" i="1"/>
  <c r="G355" i="1"/>
  <c r="K355" i="1"/>
  <c r="L355" i="1"/>
  <c r="H355" i="1"/>
  <c r="J355" i="1"/>
  <c r="Y356" i="1"/>
  <c r="D356" i="1"/>
  <c r="E357" i="1"/>
  <c r="AE357" i="1" s="1"/>
  <c r="AD357" i="1" s="1"/>
  <c r="AA356" i="1"/>
  <c r="Z356" i="1" s="1"/>
  <c r="N356" i="1" s="1"/>
  <c r="C357" i="1"/>
  <c r="AC357" i="1" s="1"/>
  <c r="S355" i="1"/>
  <c r="M355" i="1" s="1"/>
  <c r="T355" i="1"/>
  <c r="P352" i="1"/>
  <c r="W353" i="1"/>
  <c r="P353" i="1" s="1"/>
  <c r="U354" i="1"/>
  <c r="V354" i="1" s="1"/>
  <c r="AL355" i="1" l="1"/>
  <c r="AP353" i="1"/>
  <c r="AQ358" i="1"/>
  <c r="AI356" i="1"/>
  <c r="AH355" i="1"/>
  <c r="AG355" i="1"/>
  <c r="AN354" i="1"/>
  <c r="AP354" i="1" s="1"/>
  <c r="AM356" i="1"/>
  <c r="AK356" i="1"/>
  <c r="L356" i="1"/>
  <c r="K356" i="1"/>
  <c r="J356" i="1"/>
  <c r="H356" i="1"/>
  <c r="G356" i="1"/>
  <c r="S356" i="1"/>
  <c r="Y357" i="1"/>
  <c r="E358" i="1"/>
  <c r="AE358" i="1" s="1"/>
  <c r="AD358" i="1" s="1"/>
  <c r="D357" i="1"/>
  <c r="T356" i="1"/>
  <c r="M356" i="1"/>
  <c r="C358" i="1"/>
  <c r="AC358" i="1" s="1"/>
  <c r="AA357" i="1"/>
  <c r="Z357" i="1" s="1"/>
  <c r="N357" i="1" s="1"/>
  <c r="U355" i="1"/>
  <c r="V355" i="1" s="1"/>
  <c r="W354" i="1"/>
  <c r="P354" i="1" s="1"/>
  <c r="AH356" i="1" l="1"/>
  <c r="AG356" i="1"/>
  <c r="AN355" i="1"/>
  <c r="AP355" i="1" s="1"/>
  <c r="AK357" i="1"/>
  <c r="AI357" i="1"/>
  <c r="AQ359" i="1"/>
  <c r="AM357" i="1"/>
  <c r="AL356" i="1"/>
  <c r="G357" i="1"/>
  <c r="K357" i="1"/>
  <c r="H357" i="1"/>
  <c r="J357" i="1"/>
  <c r="M357" i="1"/>
  <c r="L357" i="1"/>
  <c r="AA358" i="1"/>
  <c r="Z358" i="1" s="1"/>
  <c r="N358" i="1" s="1"/>
  <c r="C359" i="1"/>
  <c r="AC359" i="1" s="1"/>
  <c r="E359" i="1"/>
  <c r="AE359" i="1" s="1"/>
  <c r="AD359" i="1" s="1"/>
  <c r="D358" i="1"/>
  <c r="Y358" i="1"/>
  <c r="S357" i="1"/>
  <c r="T357" i="1"/>
  <c r="U356" i="1"/>
  <c r="V356" i="1" s="1"/>
  <c r="W355" i="1"/>
  <c r="P355" i="1" s="1"/>
  <c r="AL357" i="1" l="1"/>
  <c r="L358" i="1"/>
  <c r="S358" i="1"/>
  <c r="AN356" i="1"/>
  <c r="AP356" i="1" s="1"/>
  <c r="AG357" i="1"/>
  <c r="AH357" i="1"/>
  <c r="AQ360" i="1"/>
  <c r="AK358" i="1"/>
  <c r="AM358" i="1"/>
  <c r="AI358" i="1"/>
  <c r="M358" i="1"/>
  <c r="AA359" i="1"/>
  <c r="Z359" i="1" s="1"/>
  <c r="N359" i="1" s="1"/>
  <c r="C360" i="1"/>
  <c r="AC360" i="1" s="1"/>
  <c r="T358" i="1"/>
  <c r="D359" i="1"/>
  <c r="Y359" i="1"/>
  <c r="E360" i="1"/>
  <c r="AE360" i="1" s="1"/>
  <c r="AD360" i="1" s="1"/>
  <c r="J358" i="1"/>
  <c r="G358" i="1"/>
  <c r="H358" i="1"/>
  <c r="K358" i="1"/>
  <c r="U357" i="1"/>
  <c r="V357" i="1" s="1"/>
  <c r="W356" i="1"/>
  <c r="P356" i="1" s="1"/>
  <c r="AL358" i="1" l="1"/>
  <c r="AK359" i="1"/>
  <c r="AI359" i="1"/>
  <c r="AM359" i="1"/>
  <c r="AQ361" i="1"/>
  <c r="AH358" i="1"/>
  <c r="AG358" i="1"/>
  <c r="AN357" i="1"/>
  <c r="AP357" i="1" s="1"/>
  <c r="L359" i="1"/>
  <c r="K359" i="1"/>
  <c r="J359" i="1"/>
  <c r="G359" i="1"/>
  <c r="H359" i="1"/>
  <c r="M359" i="1"/>
  <c r="D360" i="1"/>
  <c r="E361" i="1"/>
  <c r="AE361" i="1" s="1"/>
  <c r="AD361" i="1" s="1"/>
  <c r="Y360" i="1"/>
  <c r="T359" i="1"/>
  <c r="AA360" i="1"/>
  <c r="Z360" i="1" s="1"/>
  <c r="N360" i="1" s="1"/>
  <c r="C361" i="1"/>
  <c r="AC361" i="1" s="1"/>
  <c r="S359" i="1"/>
  <c r="U358" i="1"/>
  <c r="V358" i="1" s="1"/>
  <c r="W357" i="1"/>
  <c r="P357" i="1" s="1"/>
  <c r="AQ362" i="1" l="1"/>
  <c r="AI360" i="1"/>
  <c r="AH359" i="1"/>
  <c r="AG359" i="1"/>
  <c r="AN358" i="1"/>
  <c r="AP358" i="1" s="1"/>
  <c r="AM360" i="1"/>
  <c r="AK360" i="1"/>
  <c r="AL359" i="1"/>
  <c r="H360" i="1"/>
  <c r="K360" i="1"/>
  <c r="G360" i="1"/>
  <c r="J360" i="1"/>
  <c r="M360" i="1"/>
  <c r="L360" i="1"/>
  <c r="AA361" i="1"/>
  <c r="Z361" i="1" s="1"/>
  <c r="N361" i="1" s="1"/>
  <c r="C362" i="1"/>
  <c r="AC362" i="1" s="1"/>
  <c r="S360" i="1"/>
  <c r="E362" i="1"/>
  <c r="AE362" i="1" s="1"/>
  <c r="AD362" i="1" s="1"/>
  <c r="Y361" i="1"/>
  <c r="D361" i="1"/>
  <c r="T360" i="1"/>
  <c r="U359" i="1"/>
  <c r="V359" i="1" s="1"/>
  <c r="W358" i="1"/>
  <c r="P358" i="1" s="1"/>
  <c r="AL360" i="1" l="1"/>
  <c r="AI361" i="1"/>
  <c r="AG360" i="1"/>
  <c r="AH360" i="1"/>
  <c r="AN359" i="1"/>
  <c r="AP359" i="1" s="1"/>
  <c r="AK361" i="1"/>
  <c r="AM361" i="1"/>
  <c r="AQ363" i="1"/>
  <c r="S361" i="1"/>
  <c r="M361" i="1" s="1"/>
  <c r="C363" i="1"/>
  <c r="AC363" i="1" s="1"/>
  <c r="AA362" i="1"/>
  <c r="Z362" i="1" s="1"/>
  <c r="N362" i="1" s="1"/>
  <c r="L361" i="1"/>
  <c r="J361" i="1"/>
  <c r="H361" i="1"/>
  <c r="G361" i="1"/>
  <c r="K361" i="1"/>
  <c r="T361" i="1"/>
  <c r="D362" i="1"/>
  <c r="E363" i="1"/>
  <c r="AE363" i="1" s="1"/>
  <c r="AD363" i="1" s="1"/>
  <c r="Y362" i="1"/>
  <c r="W359" i="1"/>
  <c r="P359" i="1" s="1"/>
  <c r="U360" i="1"/>
  <c r="V360" i="1" s="1"/>
  <c r="AL361" i="1" l="1"/>
  <c r="AH361" i="1"/>
  <c r="AG361" i="1"/>
  <c r="AN360" i="1"/>
  <c r="AP360" i="1" s="1"/>
  <c r="AI362" i="1"/>
  <c r="AQ364" i="1"/>
  <c r="AK362" i="1"/>
  <c r="AM362" i="1"/>
  <c r="S362" i="1"/>
  <c r="J362" i="1"/>
  <c r="H362" i="1"/>
  <c r="K362" i="1"/>
  <c r="G362" i="1"/>
  <c r="M362" i="1"/>
  <c r="C364" i="1"/>
  <c r="AC364" i="1" s="1"/>
  <c r="AA363" i="1"/>
  <c r="Z363" i="1" s="1"/>
  <c r="N363" i="1" s="1"/>
  <c r="D363" i="1"/>
  <c r="Y363" i="1"/>
  <c r="E364" i="1"/>
  <c r="AE364" i="1" s="1"/>
  <c r="AD364" i="1" s="1"/>
  <c r="T362" i="1"/>
  <c r="L362" i="1"/>
  <c r="U361" i="1"/>
  <c r="V361" i="1" s="1"/>
  <c r="W360" i="1"/>
  <c r="P360" i="1" s="1"/>
  <c r="AI363" i="1" l="1"/>
  <c r="AQ365" i="1"/>
  <c r="AN361" i="1"/>
  <c r="AP361" i="1" s="1"/>
  <c r="AG362" i="1"/>
  <c r="AH362" i="1"/>
  <c r="AM363" i="1"/>
  <c r="AK363" i="1"/>
  <c r="AL362" i="1"/>
  <c r="K363" i="1"/>
  <c r="M363" i="1"/>
  <c r="G363" i="1"/>
  <c r="L363" i="1"/>
  <c r="H363" i="1"/>
  <c r="J363" i="1"/>
  <c r="T363" i="1"/>
  <c r="AA364" i="1"/>
  <c r="Z364" i="1" s="1"/>
  <c r="N364" i="1" s="1"/>
  <c r="C365" i="1"/>
  <c r="AC365" i="1" s="1"/>
  <c r="S363" i="1"/>
  <c r="D364" i="1"/>
  <c r="E365" i="1"/>
  <c r="AE365" i="1" s="1"/>
  <c r="AD365" i="1" s="1"/>
  <c r="Y364" i="1"/>
  <c r="U362" i="1"/>
  <c r="V362" i="1" s="1"/>
  <c r="W361" i="1"/>
  <c r="P361" i="1" s="1"/>
  <c r="AL363" i="1" l="1"/>
  <c r="AQ366" i="1"/>
  <c r="AH363" i="1"/>
  <c r="AG363" i="1"/>
  <c r="AN362" i="1"/>
  <c r="AP362" i="1" s="1"/>
  <c r="AI364" i="1"/>
  <c r="AK364" i="1"/>
  <c r="AM364" i="1"/>
  <c r="D365" i="1"/>
  <c r="Y365" i="1"/>
  <c r="E366" i="1"/>
  <c r="AE366" i="1" s="1"/>
  <c r="AD366" i="1" s="1"/>
  <c r="AA365" i="1"/>
  <c r="Z365" i="1" s="1"/>
  <c r="N365" i="1" s="1"/>
  <c r="C366" i="1"/>
  <c r="AC366" i="1" s="1"/>
  <c r="H364" i="1"/>
  <c r="G364" i="1"/>
  <c r="J364" i="1"/>
  <c r="K364" i="1"/>
  <c r="T364" i="1"/>
  <c r="U363" i="1"/>
  <c r="V363" i="1" s="1"/>
  <c r="W362" i="1"/>
  <c r="P362" i="1" s="1"/>
  <c r="AL364" i="1" l="1"/>
  <c r="AH364" i="1"/>
  <c r="AN363" i="1"/>
  <c r="AP363" i="1" s="1"/>
  <c r="AG364" i="1"/>
  <c r="AM365" i="1"/>
  <c r="AK365" i="1"/>
  <c r="AQ367" i="1"/>
  <c r="AI365" i="1"/>
  <c r="H365" i="1"/>
  <c r="J365" i="1"/>
  <c r="K365" i="1"/>
  <c r="G365" i="1"/>
  <c r="L365" i="1"/>
  <c r="D366" i="1"/>
  <c r="Y366" i="1"/>
  <c r="E367" i="1"/>
  <c r="AE367" i="1" s="1"/>
  <c r="AD367" i="1" s="1"/>
  <c r="T365" i="1"/>
  <c r="L364" i="1"/>
  <c r="S364" i="1"/>
  <c r="M365" i="1"/>
  <c r="AA366" i="1"/>
  <c r="Z366" i="1" s="1"/>
  <c r="N366" i="1" s="1"/>
  <c r="C367" i="1"/>
  <c r="AC367" i="1" s="1"/>
  <c r="U364" i="1"/>
  <c r="V364" i="1" s="1"/>
  <c r="W363" i="1"/>
  <c r="P363" i="1" s="1"/>
  <c r="AQ368" i="1" l="1"/>
  <c r="AM366" i="1"/>
  <c r="AK366" i="1"/>
  <c r="AI366" i="1"/>
  <c r="AN364" i="1"/>
  <c r="AP364" i="1" s="1"/>
  <c r="AH365" i="1"/>
  <c r="AG365" i="1"/>
  <c r="AL365" i="1"/>
  <c r="J366" i="1"/>
  <c r="H366" i="1"/>
  <c r="K366" i="1"/>
  <c r="G366" i="1"/>
  <c r="L366" i="1"/>
  <c r="M366" i="1"/>
  <c r="S365" i="1"/>
  <c r="S366" i="1" s="1"/>
  <c r="M364" i="1"/>
  <c r="T366" i="1"/>
  <c r="D367" i="1"/>
  <c r="E368" i="1"/>
  <c r="AE368" i="1" s="1"/>
  <c r="AD368" i="1" s="1"/>
  <c r="Y367" i="1"/>
  <c r="C368" i="1"/>
  <c r="AC368" i="1" s="1"/>
  <c r="AA367" i="1"/>
  <c r="Z367" i="1" s="1"/>
  <c r="N367" i="1" s="1"/>
  <c r="U365" i="1"/>
  <c r="V365" i="1" s="1"/>
  <c r="W364" i="1"/>
  <c r="AL366" i="1" l="1"/>
  <c r="AN365" i="1"/>
  <c r="AP365" i="1" s="1"/>
  <c r="AH366" i="1"/>
  <c r="AG366" i="1"/>
  <c r="AQ369" i="1"/>
  <c r="AK367" i="1"/>
  <c r="AM367" i="1"/>
  <c r="AI367" i="1"/>
  <c r="K367" i="1"/>
  <c r="L367" i="1"/>
  <c r="G367" i="1"/>
  <c r="H367" i="1"/>
  <c r="J367" i="1"/>
  <c r="D368" i="1"/>
  <c r="Y368" i="1"/>
  <c r="E369" i="1"/>
  <c r="AE369" i="1" s="1"/>
  <c r="AD369" i="1" s="1"/>
  <c r="S367" i="1"/>
  <c r="M367" i="1" s="1"/>
  <c r="C369" i="1"/>
  <c r="AC369" i="1" s="1"/>
  <c r="AA368" i="1"/>
  <c r="Z368" i="1" s="1"/>
  <c r="T367" i="1"/>
  <c r="P364" i="1"/>
  <c r="U366" i="1"/>
  <c r="V366" i="1" s="1"/>
  <c r="W365" i="1"/>
  <c r="P365" i="1" s="1"/>
  <c r="AL367" i="1" l="1"/>
  <c r="AQ370" i="1"/>
  <c r="S368" i="1"/>
  <c r="N368" i="1"/>
  <c r="AH367" i="1"/>
  <c r="AG367" i="1"/>
  <c r="AN366" i="1"/>
  <c r="AP366" i="1" s="1"/>
  <c r="AK368" i="1"/>
  <c r="AM368" i="1"/>
  <c r="AI368" i="1"/>
  <c r="M368" i="1"/>
  <c r="L368" i="1"/>
  <c r="G368" i="1"/>
  <c r="H368" i="1"/>
  <c r="J368" i="1"/>
  <c r="K368" i="1"/>
  <c r="AA369" i="1"/>
  <c r="Z369" i="1" s="1"/>
  <c r="C370" i="1"/>
  <c r="AC370" i="1" s="1"/>
  <c r="Y369" i="1"/>
  <c r="D369" i="1"/>
  <c r="E370" i="1"/>
  <c r="AE370" i="1" s="1"/>
  <c r="AD370" i="1" s="1"/>
  <c r="T368" i="1"/>
  <c r="W366" i="1"/>
  <c r="P366" i="1" s="1"/>
  <c r="U367" i="1"/>
  <c r="V367" i="1" s="1"/>
  <c r="L369" i="1" l="1"/>
  <c r="N369" i="1"/>
  <c r="AK369" i="1"/>
  <c r="AM369" i="1"/>
  <c r="AI369" i="1"/>
  <c r="AN367" i="1"/>
  <c r="AP367" i="1" s="1"/>
  <c r="AG368" i="1"/>
  <c r="AH368" i="1"/>
  <c r="AQ371" i="1"/>
  <c r="AL368" i="1"/>
  <c r="AL369" i="1" s="1"/>
  <c r="E371" i="1"/>
  <c r="AE371" i="1" s="1"/>
  <c r="AD371" i="1" s="1"/>
  <c r="D370" i="1"/>
  <c r="Y370" i="1"/>
  <c r="J369" i="1"/>
  <c r="G369" i="1"/>
  <c r="K369" i="1"/>
  <c r="H369" i="1"/>
  <c r="M369" i="1"/>
  <c r="C371" i="1"/>
  <c r="AC371" i="1" s="1"/>
  <c r="AA370" i="1"/>
  <c r="Z370" i="1" s="1"/>
  <c r="AK370" i="1" s="1"/>
  <c r="T369" i="1"/>
  <c r="S369" i="1"/>
  <c r="U368" i="1"/>
  <c r="V368" i="1" s="1"/>
  <c r="W367" i="1"/>
  <c r="P367" i="1" s="1"/>
  <c r="AQ372" i="1" l="1"/>
  <c r="AN368" i="1"/>
  <c r="AP368" i="1" s="1"/>
  <c r="AG369" i="1"/>
  <c r="AH369" i="1"/>
  <c r="L370" i="1"/>
  <c r="N370" i="1"/>
  <c r="AI370" i="1"/>
  <c r="AM370" i="1"/>
  <c r="S370" i="1"/>
  <c r="C372" i="1"/>
  <c r="AC372" i="1" s="1"/>
  <c r="AA371" i="1"/>
  <c r="Z371" i="1" s="1"/>
  <c r="T370" i="1"/>
  <c r="K370" i="1"/>
  <c r="J370" i="1"/>
  <c r="H370" i="1"/>
  <c r="G370" i="1"/>
  <c r="D371" i="1"/>
  <c r="Y371" i="1"/>
  <c r="E372" i="1"/>
  <c r="AE372" i="1" s="1"/>
  <c r="AD372" i="1" s="1"/>
  <c r="U369" i="1"/>
  <c r="V369" i="1" s="1"/>
  <c r="W368" i="1"/>
  <c r="P368" i="1" s="1"/>
  <c r="N371" i="1" l="1"/>
  <c r="AL370" i="1"/>
  <c r="AK371" i="1"/>
  <c r="AN369" i="1"/>
  <c r="AP369" i="1" s="1"/>
  <c r="AH370" i="1"/>
  <c r="AG370" i="1"/>
  <c r="AM371" i="1"/>
  <c r="AI371" i="1"/>
  <c r="AQ373" i="1"/>
  <c r="H371" i="1"/>
  <c r="J371" i="1"/>
  <c r="G371" i="1"/>
  <c r="K371" i="1"/>
  <c r="L371" i="1"/>
  <c r="M371" i="1"/>
  <c r="T371" i="1"/>
  <c r="AA372" i="1"/>
  <c r="Z372" i="1" s="1"/>
  <c r="AK372" i="1" s="1"/>
  <c r="C373" i="1"/>
  <c r="AC373" i="1" s="1"/>
  <c r="D372" i="1"/>
  <c r="Y372" i="1"/>
  <c r="E373" i="1"/>
  <c r="AE373" i="1" s="1"/>
  <c r="AD373" i="1" s="1"/>
  <c r="M370" i="1"/>
  <c r="S371" i="1"/>
  <c r="U370" i="1"/>
  <c r="V370" i="1" s="1"/>
  <c r="W369" i="1"/>
  <c r="P369" i="1" s="1"/>
  <c r="AQ374" i="1" l="1"/>
  <c r="AM372" i="1"/>
  <c r="AI372" i="1"/>
  <c r="L372" i="1"/>
  <c r="N372" i="1"/>
  <c r="AL371" i="1"/>
  <c r="AN370" i="1"/>
  <c r="AP370" i="1" s="1"/>
  <c r="AG371" i="1"/>
  <c r="AH371" i="1"/>
  <c r="D373" i="1"/>
  <c r="Y373" i="1"/>
  <c r="E374" i="1"/>
  <c r="AE374" i="1" s="1"/>
  <c r="AD374" i="1" s="1"/>
  <c r="M372" i="1"/>
  <c r="C374" i="1"/>
  <c r="AC374" i="1" s="1"/>
  <c r="AA373" i="1"/>
  <c r="Z373" i="1" s="1"/>
  <c r="N373" i="1" s="1"/>
  <c r="T372" i="1"/>
  <c r="G372" i="1"/>
  <c r="H372" i="1"/>
  <c r="K372" i="1"/>
  <c r="J372" i="1"/>
  <c r="S372" i="1"/>
  <c r="U371" i="1"/>
  <c r="V371" i="1" s="1"/>
  <c r="W370" i="1"/>
  <c r="P370" i="1" s="1"/>
  <c r="AL372" i="1" l="1"/>
  <c r="AH372" i="1"/>
  <c r="AG372" i="1"/>
  <c r="AN371" i="1"/>
  <c r="AP371" i="1" s="1"/>
  <c r="AK373" i="1"/>
  <c r="AI373" i="1"/>
  <c r="AM373" i="1"/>
  <c r="AQ375" i="1"/>
  <c r="L373" i="1"/>
  <c r="J373" i="1"/>
  <c r="K373" i="1"/>
  <c r="H373" i="1"/>
  <c r="G373" i="1"/>
  <c r="S373" i="1"/>
  <c r="E375" i="1"/>
  <c r="AE375" i="1" s="1"/>
  <c r="AD375" i="1" s="1"/>
  <c r="Y374" i="1"/>
  <c r="D374" i="1"/>
  <c r="T373" i="1"/>
  <c r="C375" i="1"/>
  <c r="AC375" i="1" s="1"/>
  <c r="AA374" i="1"/>
  <c r="Z374" i="1" s="1"/>
  <c r="N374" i="1" s="1"/>
  <c r="U372" i="1"/>
  <c r="V372" i="1" s="1"/>
  <c r="W371" i="1"/>
  <c r="P371" i="1" s="1"/>
  <c r="AQ376" i="1" l="1"/>
  <c r="AL373" i="1"/>
  <c r="AK374" i="1"/>
  <c r="AG373" i="1"/>
  <c r="AN372" i="1"/>
  <c r="AP372" i="1" s="1"/>
  <c r="AH373" i="1"/>
  <c r="AI374" i="1"/>
  <c r="AM374" i="1"/>
  <c r="G374" i="1"/>
  <c r="H374" i="1"/>
  <c r="J374" i="1"/>
  <c r="K374" i="1"/>
  <c r="M374" i="1"/>
  <c r="L374" i="1"/>
  <c r="AA375" i="1"/>
  <c r="Z375" i="1" s="1"/>
  <c r="C376" i="1"/>
  <c r="AC376" i="1" s="1"/>
  <c r="Y375" i="1"/>
  <c r="E376" i="1"/>
  <c r="AE376" i="1" s="1"/>
  <c r="AD376" i="1" s="1"/>
  <c r="D375" i="1"/>
  <c r="T374" i="1"/>
  <c r="M373" i="1"/>
  <c r="S374" i="1"/>
  <c r="U373" i="1"/>
  <c r="V373" i="1" s="1"/>
  <c r="W372" i="1"/>
  <c r="P372" i="1" s="1"/>
  <c r="AN373" i="1" l="1"/>
  <c r="AP373" i="1" s="1"/>
  <c r="AG374" i="1"/>
  <c r="AH374" i="1"/>
  <c r="L375" i="1"/>
  <c r="N375" i="1"/>
  <c r="AK375" i="1"/>
  <c r="AI375" i="1"/>
  <c r="AM375" i="1"/>
  <c r="AL374" i="1"/>
  <c r="AL375" i="1" s="1"/>
  <c r="AQ377" i="1"/>
  <c r="T375" i="1"/>
  <c r="E377" i="1"/>
  <c r="AE377" i="1" s="1"/>
  <c r="AD377" i="1" s="1"/>
  <c r="D376" i="1"/>
  <c r="Y376" i="1"/>
  <c r="M375" i="1"/>
  <c r="AA376" i="1"/>
  <c r="Z376" i="1" s="1"/>
  <c r="N376" i="1" s="1"/>
  <c r="C377" i="1"/>
  <c r="AC377" i="1" s="1"/>
  <c r="J375" i="1"/>
  <c r="H375" i="1"/>
  <c r="K375" i="1"/>
  <c r="G375" i="1"/>
  <c r="S375" i="1"/>
  <c r="U374" i="1"/>
  <c r="V374" i="1" s="1"/>
  <c r="W373" i="1"/>
  <c r="P373" i="1" s="1"/>
  <c r="AQ378" i="1" l="1"/>
  <c r="AH375" i="1"/>
  <c r="AN374" i="1"/>
  <c r="AP374" i="1" s="1"/>
  <c r="AG375" i="1"/>
  <c r="AK376" i="1"/>
  <c r="AM376" i="1"/>
  <c r="AI376" i="1"/>
  <c r="C378" i="1"/>
  <c r="AC378" i="1" s="1"/>
  <c r="AA377" i="1"/>
  <c r="Z377" i="1" s="1"/>
  <c r="AL376" i="1" s="1"/>
  <c r="G376" i="1"/>
  <c r="H376" i="1"/>
  <c r="K376" i="1"/>
  <c r="J376" i="1"/>
  <c r="E378" i="1"/>
  <c r="AE378" i="1" s="1"/>
  <c r="AD378" i="1" s="1"/>
  <c r="Y377" i="1"/>
  <c r="D377" i="1"/>
  <c r="T376" i="1"/>
  <c r="U375" i="1"/>
  <c r="V375" i="1" s="1"/>
  <c r="W374" i="1"/>
  <c r="P374" i="1" s="1"/>
  <c r="AN375" i="1" l="1"/>
  <c r="AP375" i="1" s="1"/>
  <c r="AG376" i="1"/>
  <c r="AH376" i="1"/>
  <c r="M377" i="1"/>
  <c r="N377" i="1"/>
  <c r="AK377" i="1"/>
  <c r="AM377" i="1"/>
  <c r="AI377" i="1"/>
  <c r="AQ379" i="1"/>
  <c r="L376" i="1"/>
  <c r="T377" i="1"/>
  <c r="S376" i="1"/>
  <c r="E379" i="1"/>
  <c r="AE379" i="1" s="1"/>
  <c r="AD379" i="1" s="1"/>
  <c r="Y378" i="1"/>
  <c r="D378" i="1"/>
  <c r="L377" i="1"/>
  <c r="H377" i="1"/>
  <c r="K377" i="1"/>
  <c r="J377" i="1"/>
  <c r="G377" i="1"/>
  <c r="C379" i="1"/>
  <c r="AC379" i="1" s="1"/>
  <c r="AA378" i="1"/>
  <c r="Z378" i="1" s="1"/>
  <c r="AI378" i="1" s="1"/>
  <c r="U376" i="1"/>
  <c r="V376" i="1" s="1"/>
  <c r="W375" i="1"/>
  <c r="P375" i="1" s="1"/>
  <c r="AK378" i="1" l="1"/>
  <c r="L378" i="1"/>
  <c r="N378" i="1"/>
  <c r="AM378" i="1"/>
  <c r="AN376" i="1"/>
  <c r="AP376" i="1" s="1"/>
  <c r="AG377" i="1"/>
  <c r="AH377" i="1"/>
  <c r="AQ380" i="1"/>
  <c r="AL377" i="1"/>
  <c r="K378" i="1"/>
  <c r="H378" i="1"/>
  <c r="G378" i="1"/>
  <c r="J378" i="1"/>
  <c r="M378" i="1"/>
  <c r="C380" i="1"/>
  <c r="AC380" i="1" s="1"/>
  <c r="AA379" i="1"/>
  <c r="Z379" i="1" s="1"/>
  <c r="N379" i="1" s="1"/>
  <c r="D379" i="1"/>
  <c r="E380" i="1"/>
  <c r="AE380" i="1" s="1"/>
  <c r="AD380" i="1" s="1"/>
  <c r="Y379" i="1"/>
  <c r="T378" i="1"/>
  <c r="M376" i="1"/>
  <c r="S377" i="1"/>
  <c r="S378" i="1" s="1"/>
  <c r="U377" i="1"/>
  <c r="V377" i="1" s="1"/>
  <c r="W376" i="1"/>
  <c r="AL378" i="1" l="1"/>
  <c r="AM379" i="1"/>
  <c r="AI379" i="1"/>
  <c r="AQ381" i="1"/>
  <c r="AK379" i="1"/>
  <c r="AH378" i="1"/>
  <c r="AN377" i="1"/>
  <c r="AP377" i="1" s="1"/>
  <c r="AG378" i="1"/>
  <c r="P376" i="1"/>
  <c r="E381" i="1"/>
  <c r="AE381" i="1" s="1"/>
  <c r="AD381" i="1" s="1"/>
  <c r="Y380" i="1"/>
  <c r="D380" i="1"/>
  <c r="S379" i="1"/>
  <c r="M379" i="1" s="1"/>
  <c r="T379" i="1"/>
  <c r="L379" i="1"/>
  <c r="J379" i="1"/>
  <c r="K379" i="1"/>
  <c r="H379" i="1"/>
  <c r="G379" i="1"/>
  <c r="AA380" i="1"/>
  <c r="Z380" i="1" s="1"/>
  <c r="AM380" i="1" s="1"/>
  <c r="C381" i="1"/>
  <c r="AC381" i="1" s="1"/>
  <c r="U378" i="1"/>
  <c r="V378" i="1" s="1"/>
  <c r="W377" i="1"/>
  <c r="P377" i="1" s="1"/>
  <c r="AI380" i="1" l="1"/>
  <c r="AH379" i="1"/>
  <c r="AG379" i="1"/>
  <c r="AN378" i="1"/>
  <c r="AP378" i="1" s="1"/>
  <c r="L380" i="1"/>
  <c r="N380" i="1"/>
  <c r="AK380" i="1"/>
  <c r="AL379" i="1"/>
  <c r="AQ382" i="1"/>
  <c r="C382" i="1"/>
  <c r="AC382" i="1" s="1"/>
  <c r="AA381" i="1"/>
  <c r="Z381" i="1" s="1"/>
  <c r="N381" i="1" s="1"/>
  <c r="K380" i="1"/>
  <c r="G380" i="1"/>
  <c r="J380" i="1"/>
  <c r="H380" i="1"/>
  <c r="T380" i="1"/>
  <c r="S380" i="1"/>
  <c r="E382" i="1"/>
  <c r="AE382" i="1" s="1"/>
  <c r="AD382" i="1" s="1"/>
  <c r="Y381" i="1"/>
  <c r="D381" i="1"/>
  <c r="M380" i="1"/>
  <c r="U379" i="1"/>
  <c r="V379" i="1" s="1"/>
  <c r="W378" i="1"/>
  <c r="P378" i="1" s="1"/>
  <c r="AL380" i="1" l="1"/>
  <c r="AQ383" i="1"/>
  <c r="AG380" i="1"/>
  <c r="AN379" i="1"/>
  <c r="AP379" i="1" s="1"/>
  <c r="AH380" i="1"/>
  <c r="AI381" i="1"/>
  <c r="AM381" i="1"/>
  <c r="AK381" i="1"/>
  <c r="G381" i="1"/>
  <c r="K381" i="1"/>
  <c r="H381" i="1"/>
  <c r="J381" i="1"/>
  <c r="S381" i="1"/>
  <c r="M381" i="1"/>
  <c r="L381" i="1"/>
  <c r="D382" i="1"/>
  <c r="Y382" i="1"/>
  <c r="E383" i="1"/>
  <c r="AE383" i="1" s="1"/>
  <c r="AD383" i="1" s="1"/>
  <c r="AA382" i="1"/>
  <c r="Z382" i="1" s="1"/>
  <c r="N382" i="1" s="1"/>
  <c r="C383" i="1"/>
  <c r="AC383" i="1" s="1"/>
  <c r="T381" i="1"/>
  <c r="U380" i="1"/>
  <c r="V380" i="1" s="1"/>
  <c r="W379" i="1"/>
  <c r="P379" i="1" s="1"/>
  <c r="AM382" i="1" l="1"/>
  <c r="AK382" i="1"/>
  <c r="AI382" i="1"/>
  <c r="AL381" i="1"/>
  <c r="AN380" i="1"/>
  <c r="AP380" i="1" s="1"/>
  <c r="AG381" i="1"/>
  <c r="AH381" i="1"/>
  <c r="AQ384" i="1"/>
  <c r="AA383" i="1"/>
  <c r="Z383" i="1" s="1"/>
  <c r="AK383" i="1" s="1"/>
  <c r="C384" i="1"/>
  <c r="AC384" i="1" s="1"/>
  <c r="L382" i="1"/>
  <c r="G382" i="1"/>
  <c r="J382" i="1"/>
  <c r="H382" i="1"/>
  <c r="K382" i="1"/>
  <c r="T382" i="1"/>
  <c r="S382" i="1"/>
  <c r="M382" i="1" s="1"/>
  <c r="D383" i="1"/>
  <c r="Y383" i="1"/>
  <c r="E384" i="1"/>
  <c r="AE384" i="1" s="1"/>
  <c r="AD384" i="1" s="1"/>
  <c r="W380" i="1"/>
  <c r="P380" i="1" s="1"/>
  <c r="U381" i="1"/>
  <c r="V381" i="1" s="1"/>
  <c r="AQ385" i="1" l="1"/>
  <c r="AG382" i="1"/>
  <c r="AN381" i="1"/>
  <c r="AP381" i="1" s="1"/>
  <c r="AH382" i="1"/>
  <c r="AM383" i="1"/>
  <c r="AL382" i="1"/>
  <c r="L383" i="1"/>
  <c r="N383" i="1"/>
  <c r="AI383" i="1"/>
  <c r="M383" i="1"/>
  <c r="T383" i="1"/>
  <c r="Y384" i="1"/>
  <c r="E385" i="1"/>
  <c r="AE385" i="1" s="1"/>
  <c r="AD385" i="1" s="1"/>
  <c r="D384" i="1"/>
  <c r="S383" i="1"/>
  <c r="Z384" i="1"/>
  <c r="N384" i="1" s="1"/>
  <c r="AA384" i="1"/>
  <c r="C385" i="1"/>
  <c r="AC385" i="1" s="1"/>
  <c r="J383" i="1"/>
  <c r="K383" i="1"/>
  <c r="G383" i="1"/>
  <c r="H383" i="1"/>
  <c r="U382" i="1"/>
  <c r="V382" i="1" s="1"/>
  <c r="W381" i="1"/>
  <c r="P381" i="1" s="1"/>
  <c r="AL383" i="1" l="1"/>
  <c r="AK384" i="1"/>
  <c r="AN382" i="1"/>
  <c r="AP382" i="1" s="1"/>
  <c r="AH383" i="1"/>
  <c r="AG383" i="1"/>
  <c r="AI384" i="1"/>
  <c r="AM384" i="1"/>
  <c r="AQ386" i="1"/>
  <c r="C386" i="1"/>
  <c r="AC386" i="1" s="1"/>
  <c r="AA385" i="1"/>
  <c r="Z385" i="1" s="1"/>
  <c r="N385" i="1" s="1"/>
  <c r="G384" i="1"/>
  <c r="J384" i="1"/>
  <c r="L384" i="1"/>
  <c r="H384" i="1"/>
  <c r="K384" i="1"/>
  <c r="M384" i="1"/>
  <c r="T384" i="1"/>
  <c r="D385" i="1"/>
  <c r="E386" i="1"/>
  <c r="AE386" i="1" s="1"/>
  <c r="AD386" i="1" s="1"/>
  <c r="Y385" i="1"/>
  <c r="S384" i="1"/>
  <c r="U383" i="1"/>
  <c r="V383" i="1" s="1"/>
  <c r="W382" i="1"/>
  <c r="P382" i="1" s="1"/>
  <c r="T385" i="1" l="1"/>
  <c r="AQ388" i="1"/>
  <c r="AQ387" i="1"/>
  <c r="AK385" i="1"/>
  <c r="S385" i="1"/>
  <c r="M385" i="1" s="1"/>
  <c r="AI385" i="1"/>
  <c r="AM385" i="1"/>
  <c r="AG384" i="1"/>
  <c r="AH384" i="1"/>
  <c r="AN383" i="1"/>
  <c r="AP383" i="1" s="1"/>
  <c r="AL384" i="1"/>
  <c r="AL385" i="1" s="1"/>
  <c r="Y386" i="1"/>
  <c r="D386" i="1"/>
  <c r="E387" i="1"/>
  <c r="AE387" i="1" s="1"/>
  <c r="AD387" i="1" s="1"/>
  <c r="L385" i="1"/>
  <c r="J385" i="1"/>
  <c r="K385" i="1"/>
  <c r="G385" i="1"/>
  <c r="H385" i="1"/>
  <c r="C387" i="1"/>
  <c r="AC387" i="1" s="1"/>
  <c r="AA386" i="1"/>
  <c r="Z386" i="1" s="1"/>
  <c r="AK386" i="1" s="1"/>
  <c r="U384" i="1"/>
  <c r="V384" i="1" s="1"/>
  <c r="W383" i="1"/>
  <c r="P383" i="1" s="1"/>
  <c r="AN384" i="1" l="1"/>
  <c r="AP384" i="1" s="1"/>
  <c r="AH385" i="1"/>
  <c r="AG385" i="1"/>
  <c r="AM386" i="1"/>
  <c r="M386" i="1"/>
  <c r="N386" i="1"/>
  <c r="AI386" i="1"/>
  <c r="L386" i="1"/>
  <c r="C388" i="1"/>
  <c r="AA387" i="1"/>
  <c r="Z387" i="1" s="1"/>
  <c r="S386" i="1"/>
  <c r="K386" i="1"/>
  <c r="H386" i="1"/>
  <c r="G386" i="1"/>
  <c r="J386" i="1"/>
  <c r="D387" i="1"/>
  <c r="Y387" i="1"/>
  <c r="E388" i="1"/>
  <c r="AE388" i="1" s="1"/>
  <c r="AD388" i="1" s="1"/>
  <c r="T386" i="1"/>
  <c r="U385" i="1"/>
  <c r="V385" i="1" s="1"/>
  <c r="W384" i="1"/>
  <c r="P384" i="1" s="1"/>
  <c r="M387" i="1" l="1"/>
  <c r="N387" i="1"/>
  <c r="AM387" i="1"/>
  <c r="AL386" i="1"/>
  <c r="T387" i="1"/>
  <c r="AI387" i="1"/>
  <c r="AK387" i="1"/>
  <c r="AN385" i="1"/>
  <c r="AP385" i="1" s="1"/>
  <c r="AG386" i="1"/>
  <c r="AH386" i="1"/>
  <c r="AA388" i="1"/>
  <c r="AC388" i="1"/>
  <c r="L387" i="1"/>
  <c r="Z388" i="1"/>
  <c r="N388" i="1" s="1"/>
  <c r="D388" i="1"/>
  <c r="Y388" i="1"/>
  <c r="S387" i="1"/>
  <c r="G387" i="1"/>
  <c r="K387" i="1"/>
  <c r="J387" i="1"/>
  <c r="H387" i="1"/>
  <c r="U386" i="1"/>
  <c r="V386" i="1" s="1"/>
  <c r="W385" i="1"/>
  <c r="P385" i="1" s="1"/>
  <c r="AL387" i="1" l="1"/>
  <c r="AK388" i="1"/>
  <c r="AM388" i="1"/>
  <c r="AI388" i="1"/>
  <c r="AH387" i="1"/>
  <c r="AG387" i="1"/>
  <c r="AN386" i="1"/>
  <c r="AP386" i="1" s="1"/>
  <c r="H388" i="1"/>
  <c r="K388" i="1"/>
  <c r="G388" i="1"/>
  <c r="J388" i="1"/>
  <c r="T388" i="1"/>
  <c r="U387" i="1"/>
  <c r="V387" i="1" s="1"/>
  <c r="W386" i="1"/>
  <c r="P386" i="1" s="1"/>
  <c r="AG388" i="1" l="1"/>
  <c r="AN387" i="1"/>
  <c r="AP387" i="1" s="1"/>
  <c r="AH388" i="1"/>
  <c r="S388" i="1"/>
  <c r="M388" i="1" s="1"/>
  <c r="L388" i="1"/>
  <c r="U388" i="1"/>
  <c r="V388" i="1" s="1"/>
  <c r="W388" i="1" s="1"/>
  <c r="W387" i="1"/>
  <c r="P387" i="1" s="1"/>
  <c r="P388" i="1" l="1"/>
  <c r="AL388" i="1"/>
  <c r="AN388" i="1"/>
  <c r="AP388" i="1" l="1"/>
  <c r="R5" i="1" l="1"/>
  <c r="T5" i="1" s="1"/>
  <c r="U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Patrick Park</author>
  </authors>
  <commentList>
    <comment ref="C14" authorId="0" shapeId="0" xr:uid="{809F01AF-9504-4743-874D-940FC7B71913}">
      <text>
        <r>
          <rPr>
            <b/>
            <sz val="9"/>
            <color indexed="81"/>
            <rFont val="Tahoma"/>
            <family val="2"/>
          </rPr>
          <t>Patrick Park:</t>
        </r>
        <r>
          <rPr>
            <sz val="9"/>
            <color indexed="81"/>
            <rFont val="Tahoma"/>
            <family val="2"/>
          </rPr>
          <t xml:space="preserve">
WIFI, GAS, ELECTRCITIY, WATER</t>
        </r>
      </text>
    </comment>
    <comment ref="H23" authorId="0" shapeId="0" xr:uid="{1C5A6717-E526-443A-99D6-E12AF1AFE896}">
      <text>
        <r>
          <rPr>
            <b/>
            <sz val="9"/>
            <color indexed="81"/>
            <rFont val="Tahoma"/>
            <family val="2"/>
          </rPr>
          <t>Patrick Park: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8" authorId="0" shapeId="0" xr:uid="{646AEF73-C2CB-4E2E-B5BF-7256FE10703D}">
      <text>
        <r>
          <rPr>
            <b/>
            <sz val="9"/>
            <color indexed="81"/>
            <rFont val="Tahoma"/>
            <family val="2"/>
          </rPr>
          <t>Patrick Park:</t>
        </r>
        <r>
          <rPr>
            <sz val="9"/>
            <color indexed="81"/>
            <rFont val="Tahoma"/>
            <family val="2"/>
          </rPr>
          <t xml:space="preserve">
willl pay pro-rated but assumed 0 for now</t>
        </r>
      </text>
    </comment>
  </commentList>
</comments>
</file>

<file path=xl/sharedStrings.xml><?xml version="1.0" encoding="utf-8"?>
<sst xmlns="http://schemas.openxmlformats.org/spreadsheetml/2006/main" count="181" uniqueCount="89">
  <si>
    <t>Assumptions</t>
  </si>
  <si>
    <t>Mortgage</t>
  </si>
  <si>
    <t>Rent</t>
  </si>
  <si>
    <t>Monthly Rent</t>
  </si>
  <si>
    <t>Utilities %</t>
  </si>
  <si>
    <t>Early Termination Fee</t>
  </si>
  <si>
    <t>Property Tax</t>
  </si>
  <si>
    <t>Utilities</t>
  </si>
  <si>
    <t>Debt BoP</t>
  </si>
  <si>
    <t>Principal</t>
  </si>
  <si>
    <t>Debt EoP</t>
  </si>
  <si>
    <t>CF</t>
  </si>
  <si>
    <t>Year</t>
  </si>
  <si>
    <t>Maintenance %</t>
  </si>
  <si>
    <t>Interest</t>
  </si>
  <si>
    <t>Maintenance</t>
  </si>
  <si>
    <t>Insurance</t>
  </si>
  <si>
    <t>Property Taxes</t>
  </si>
  <si>
    <t>Initial Applicance Cost</t>
  </si>
  <si>
    <t>Emergency Fund</t>
  </si>
  <si>
    <t>Mortgage Years</t>
  </si>
  <si>
    <t>HOA Fee</t>
  </si>
  <si>
    <t>of PP</t>
  </si>
  <si>
    <t>Purchase Price</t>
  </si>
  <si>
    <t>p.a.</t>
  </si>
  <si>
    <t>p.a. of PP</t>
  </si>
  <si>
    <t>Home Value Inflation</t>
  </si>
  <si>
    <t>Equity</t>
  </si>
  <si>
    <t>Home Value</t>
  </si>
  <si>
    <t>Period</t>
  </si>
  <si>
    <t>Date</t>
  </si>
  <si>
    <t>Global</t>
  </si>
  <si>
    <t>Start Date</t>
  </si>
  <si>
    <t>Move-Out Date</t>
  </si>
  <si>
    <t>Homeowners Insurance</t>
  </si>
  <si>
    <t>p.a. of Home Value</t>
  </si>
  <si>
    <t>One Home?</t>
  </si>
  <si>
    <t>&lt; matters when if you lived there at least 2 years</t>
  </si>
  <si>
    <t>Switch</t>
  </si>
  <si>
    <t>&lt;From ChatGPT</t>
  </si>
  <si>
    <t>Co-Op or Condo?</t>
  </si>
  <si>
    <t>Assumption by ChatGpt and Given StreetEasy</t>
  </si>
  <si>
    <t>of Home Value</t>
  </si>
  <si>
    <t>Monthly Bank Payment</t>
  </si>
  <si>
    <t>Interest Rate</t>
  </si>
  <si>
    <t>Down Payment</t>
  </si>
  <si>
    <t>HYSA Growth (added to equity)</t>
  </si>
  <si>
    <t>Years</t>
  </si>
  <si>
    <t>One-time</t>
  </si>
  <si>
    <t>Other Costs (Monthly)</t>
  </si>
  <si>
    <t>Monthly:</t>
  </si>
  <si>
    <t>Property Tax Home Value</t>
  </si>
  <si>
    <t>Flags</t>
  </si>
  <si>
    <t>Home Selling</t>
  </si>
  <si>
    <t>Debt Repayment</t>
  </si>
  <si>
    <t>Output</t>
  </si>
  <si>
    <t>NPV</t>
  </si>
  <si>
    <t>Discount Factor</t>
  </si>
  <si>
    <t>Active Flag</t>
  </si>
  <si>
    <t>Expenses</t>
  </si>
  <si>
    <t>Debt Service</t>
  </si>
  <si>
    <t>What I found is that if interest rate stays the same for changing years then the NPV stays the same</t>
  </si>
  <si>
    <t>Recurring Expenses</t>
  </si>
  <si>
    <t>p.a. of Rent</t>
  </si>
  <si>
    <t>Renters Insurance</t>
  </si>
  <si>
    <t>Yearly</t>
  </si>
  <si>
    <t>One Time Cost</t>
  </si>
  <si>
    <t>Moving Cost</t>
  </si>
  <si>
    <t>Moving Every</t>
  </si>
  <si>
    <t>Application Fees</t>
  </si>
  <si>
    <t>years</t>
  </si>
  <si>
    <t>months of rent</t>
  </si>
  <si>
    <t>Recurring</t>
  </si>
  <si>
    <t>One Time</t>
  </si>
  <si>
    <t>Rent Increase</t>
  </si>
  <si>
    <t>per month</t>
  </si>
  <si>
    <t>Security Despoits</t>
  </si>
  <si>
    <t>Application Fee</t>
  </si>
  <si>
    <t>Diff</t>
  </si>
  <si>
    <t>What is better?</t>
  </si>
  <si>
    <t>&lt;HYSA , minimum guaranteed rate of return</t>
  </si>
  <si>
    <t>Faster I sell my house then mortgage is could be beneficial</t>
  </si>
  <si>
    <t>Changing Variables</t>
  </si>
  <si>
    <t>Tenor</t>
  </si>
  <si>
    <t>&lt;TODO</t>
  </si>
  <si>
    <t>NPV - Mortgage</t>
  </si>
  <si>
    <t>NPV - Rent</t>
  </si>
  <si>
    <t>Equivalent Rent to Mortgage</t>
  </si>
  <si>
    <t>Global Assumption of 5 year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</si>
</sst>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_(&quot;$&quot;* #,##0.0_);_(&quot;$&quot;* \(#,##0.0\);_(&quot;$&quot;* &quot;-&quot;??_);_(@_)"/>
    <numFmt numFmtId="168" formatCode="_(&quot;$&quot;* #,##0.0_);_(&quot;$&quot;* \(#,##0.0\);_(&quot;$&quot;* &quot;-&quot;?_);_(@_)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70C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2" borderId="0" xfId="0" applyFill="1"/>
    <xf numFmtId="10" fontId="0" fillId="0" borderId="0" xfId="0" applyNumberFormat="1"/>
    <xf numFmtId="0" fontId="0" fillId="0" borderId="0" xfId="0" quotePrefix="1"/>
    <xf numFmtId="10" fontId="0" fillId="2" borderId="0" xfId="0" applyNumberFormat="1" applyFill="1"/>
    <xf numFmtId="2" fontId="0" fillId="2" borderId="0" xfId="0" applyNumberFormat="1" applyFill="1"/>
    <xf numFmtId="164" fontId="0" fillId="2" borderId="0" xfId="0" applyNumberFormat="1" applyFill="1"/>
    <xf numFmtId="9" fontId="0" fillId="2" borderId="0" xfId="0" applyNumberFormat="1" applyFill="1"/>
    <xf numFmtId="165" fontId="0" fillId="2" borderId="0" xfId="0" applyNumberFormat="1" applyFill="1"/>
    <xf numFmtId="8" fontId="0" fillId="2" borderId="0" xfId="0" applyNumberFormat="1" applyFill="1"/>
    <xf numFmtId="166" fontId="0" fillId="2" borderId="0" xfId="0" applyNumberFormat="1" applyFill="1"/>
    <xf numFmtId="14" fontId="0" fillId="0" borderId="0" xfId="0" applyNumberFormat="1"/>
    <xf numFmtId="14" fontId="4" fillId="0" borderId="0" xfId="0" applyNumberFormat="1" applyFont="1"/>
    <xf numFmtId="165" fontId="0" fillId="0" borderId="0" xfId="0" applyNumberFormat="1"/>
    <xf numFmtId="8" fontId="0" fillId="0" borderId="0" xfId="0" applyNumberFormat="1"/>
    <xf numFmtId="164" fontId="0" fillId="0" borderId="0" xfId="0" applyNumberFormat="1"/>
    <xf numFmtId="44" fontId="0" fillId="0" borderId="0" xfId="0" applyNumberFormat="1"/>
    <xf numFmtId="4" fontId="0" fillId="0" borderId="0" xfId="0" applyNumberFormat="1"/>
    <xf numFmtId="167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67" fontId="0" fillId="0" borderId="2" xfId="0" applyNumberFormat="1" applyBorder="1"/>
    <xf numFmtId="0" fontId="1" fillId="0" borderId="2" xfId="0" applyFont="1" applyBorder="1"/>
    <xf numFmtId="44" fontId="1" fillId="0" borderId="0" xfId="0" applyNumberFormat="1" applyFont="1"/>
    <xf numFmtId="14" fontId="0" fillId="2" borderId="0" xfId="0" applyNumberFormat="1" applyFill="1"/>
    <xf numFmtId="4" fontId="7" fillId="0" borderId="0" xfId="0" applyNumberFormat="1" applyFont="1"/>
    <xf numFmtId="0" fontId="6" fillId="0" borderId="0" xfId="0" applyFont="1"/>
    <xf numFmtId="0" fontId="1" fillId="3" borderId="2" xfId="0" applyFont="1" applyFill="1" applyBorder="1"/>
    <xf numFmtId="0" fontId="1" fillId="7" borderId="0" xfId="0" applyFont="1" applyFill="1"/>
    <xf numFmtId="0" fontId="5" fillId="9" borderId="0" xfId="0" applyFont="1" applyFill="1"/>
    <xf numFmtId="0" fontId="1" fillId="8" borderId="0" xfId="0" applyFont="1" applyFill="1"/>
    <xf numFmtId="0" fontId="1" fillId="4" borderId="2" xfId="0" applyFont="1" applyFill="1" applyBorder="1"/>
    <xf numFmtId="0" fontId="1" fillId="5" borderId="2" xfId="0" applyFont="1" applyFill="1" applyBorder="1"/>
    <xf numFmtId="0" fontId="5" fillId="6" borderId="0" xfId="0" applyFont="1" applyFill="1"/>
    <xf numFmtId="0" fontId="1" fillId="6" borderId="0" xfId="0" applyFont="1" applyFill="1"/>
    <xf numFmtId="0" fontId="1" fillId="10" borderId="0" xfId="0" applyFont="1" applyFill="1"/>
    <xf numFmtId="9" fontId="0" fillId="0" borderId="0" xfId="0" applyNumberFormat="1"/>
    <xf numFmtId="168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6CF3-9A5A-4A1C-95D5-E1865AF39A33}">
  <sheetPr codeName="Sheet1"/>
  <dimension ref="B2:I8"/>
  <sheetViews>
    <sheetView workbookViewId="0">
      <selection activeCell="H6" sqref="H6"/>
    </sheetView>
  </sheetViews>
  <sheetFormatPr defaultRowHeight="15" x14ac:dyDescent="0.25"/>
  <cols>
    <col min="5" max="5" width="9.42578125" bestFit="1" customWidth="1"/>
  </cols>
  <sheetData>
    <row r="2" spans="2:9" x14ac:dyDescent="0.25">
      <c r="B2" t="s">
        <v>0</v>
      </c>
    </row>
    <row r="4" spans="2:9" x14ac:dyDescent="0.25">
      <c r="B4" s="1" t="s">
        <v>31</v>
      </c>
    </row>
    <row r="5" spans="2:9" x14ac:dyDescent="0.25">
      <c r="B5" t="s">
        <v>32</v>
      </c>
      <c r="E5" s="26">
        <v>45839</v>
      </c>
    </row>
    <row r="6" spans="2:9" x14ac:dyDescent="0.25">
      <c r="B6" t="s">
        <v>33</v>
      </c>
      <c r="E6" s="12">
        <f>EDATE(E5,H6*12)</f>
        <v>47665</v>
      </c>
      <c r="H6" s="2">
        <v>5</v>
      </c>
      <c r="I6" t="s">
        <v>70</v>
      </c>
    </row>
    <row r="8" spans="2:9" x14ac:dyDescent="0.25">
      <c r="B8" t="s">
        <v>57</v>
      </c>
      <c r="E8" s="5">
        <v>4.2500000000000003E-2</v>
      </c>
      <c r="F8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F6D74-B2ED-4A08-BD62-D0C583BE8463}">
  <sheetPr codeName="Sheet2"/>
  <dimension ref="A1:AS397"/>
  <sheetViews>
    <sheetView topLeftCell="D1" zoomScale="85" zoomScaleNormal="85" workbookViewId="0">
      <selection activeCell="AE5" sqref="AE5"/>
    </sheetView>
  </sheetViews>
  <sheetFormatPr defaultRowHeight="15" x14ac:dyDescent="0.25"/>
  <cols>
    <col min="2" max="2" width="2.7109375" customWidth="1"/>
    <col min="7" max="7" width="9.85546875" bestFit="1" customWidth="1"/>
    <col min="8" max="8" width="10.5703125" bestFit="1" customWidth="1"/>
    <col min="9" max="9" width="10.5703125" customWidth="1"/>
    <col min="10" max="10" width="12.42578125" bestFit="1" customWidth="1"/>
    <col min="12" max="12" width="9.85546875" bestFit="1" customWidth="1"/>
    <col min="13" max="13" width="13.85546875" bestFit="1" customWidth="1"/>
    <col min="16" max="18" width="13.42578125" bestFit="1" customWidth="1"/>
    <col min="19" max="19" width="12.5703125" bestFit="1" customWidth="1"/>
    <col min="20" max="20" width="13.42578125" bestFit="1" customWidth="1"/>
    <col min="21" max="23" width="12.5703125" bestFit="1" customWidth="1"/>
    <col min="31" max="31" width="10" bestFit="1" customWidth="1"/>
    <col min="33" max="33" width="10.5703125" style="19" bestFit="1" customWidth="1"/>
    <col min="34" max="34" width="9" style="19" bestFit="1" customWidth="1"/>
    <col min="35" max="35" width="17" style="19" bestFit="1" customWidth="1"/>
    <col min="36" max="36" width="9.140625" style="19"/>
    <col min="37" max="37" width="11.5703125" style="19" bestFit="1" customWidth="1"/>
    <col min="38" max="38" width="16.140625" style="19" bestFit="1" customWidth="1"/>
    <col min="39" max="39" width="14.7109375" style="19" bestFit="1" customWidth="1"/>
    <col min="40" max="40" width="20.140625" style="19" bestFit="1" customWidth="1"/>
    <col min="41" max="41" width="9.140625" style="19"/>
    <col min="42" max="42" width="11.28515625" style="19" bestFit="1" customWidth="1"/>
  </cols>
  <sheetData>
    <row r="1" spans="2:32" x14ac:dyDescent="0.25">
      <c r="AB1" s="20"/>
    </row>
    <row r="2" spans="2:32" x14ac:dyDescent="0.25">
      <c r="AB2" s="20"/>
    </row>
    <row r="3" spans="2:32" x14ac:dyDescent="0.25">
      <c r="B3" s="1" t="s">
        <v>0</v>
      </c>
      <c r="P3" s="1" t="s">
        <v>55</v>
      </c>
      <c r="AB3" s="20"/>
      <c r="AC3" s="1" t="s">
        <v>0</v>
      </c>
    </row>
    <row r="4" spans="2:32" x14ac:dyDescent="0.25">
      <c r="B4" s="1" t="s">
        <v>1</v>
      </c>
      <c r="Q4" t="s">
        <v>1</v>
      </c>
      <c r="R4" t="s">
        <v>2</v>
      </c>
      <c r="T4" t="s">
        <v>78</v>
      </c>
      <c r="U4" t="s">
        <v>79</v>
      </c>
      <c r="AB4" s="20"/>
      <c r="AC4" s="1" t="s">
        <v>2</v>
      </c>
    </row>
    <row r="5" spans="2:32" x14ac:dyDescent="0.25">
      <c r="B5" t="s">
        <v>23</v>
      </c>
      <c r="H5" s="9">
        <v>525000</v>
      </c>
      <c r="I5" t="s">
        <v>48</v>
      </c>
      <c r="P5" t="s">
        <v>56</v>
      </c>
      <c r="Q5" s="17">
        <f>SUMPRODUCT(P28:P119,Q28:Q119)</f>
        <v>-225989.09267085543</v>
      </c>
      <c r="R5" s="17">
        <f ca="1">SUMPRODUCT(AP28:AP388,AQ28:AQ388)</f>
        <v>-225989.092670855</v>
      </c>
      <c r="T5" s="25">
        <f ca="1">Q5-R5</f>
        <v>-4.3655745685100555E-10</v>
      </c>
      <c r="U5" s="1" t="str">
        <f ca="1">IF(T5&lt;0,"Rent", "Mortgage")</f>
        <v>Rent</v>
      </c>
      <c r="AB5" s="20"/>
      <c r="AC5" t="s">
        <v>3</v>
      </c>
      <c r="AE5" s="9">
        <v>3415.8460235069924</v>
      </c>
    </row>
    <row r="6" spans="2:32" x14ac:dyDescent="0.25">
      <c r="B6" t="s">
        <v>43</v>
      </c>
      <c r="H6" s="10">
        <f>PMT($H$8/12,12*H7,H5*(1-H9))*-1</f>
        <v>2794.2704797525694</v>
      </c>
      <c r="P6" s="1" t="s">
        <v>61</v>
      </c>
      <c r="AB6" s="20"/>
      <c r="AC6" t="s">
        <v>62</v>
      </c>
    </row>
    <row r="7" spans="2:32" x14ac:dyDescent="0.25">
      <c r="B7" t="s">
        <v>12</v>
      </c>
      <c r="H7" s="2">
        <v>30</v>
      </c>
      <c r="I7" t="s">
        <v>47</v>
      </c>
      <c r="P7" s="1" t="s">
        <v>81</v>
      </c>
      <c r="AB7" s="20"/>
      <c r="AD7" t="s">
        <v>4</v>
      </c>
      <c r="AE7" s="5">
        <v>7.4999999999999997E-2</v>
      </c>
      <c r="AF7" t="s">
        <v>75</v>
      </c>
    </row>
    <row r="8" spans="2:32" x14ac:dyDescent="0.25">
      <c r="B8" t="s">
        <v>44</v>
      </c>
      <c r="H8" s="5">
        <v>7.0000000000000007E-2</v>
      </c>
      <c r="I8" t="s">
        <v>24</v>
      </c>
      <c r="AB8" s="20"/>
      <c r="AD8" t="s">
        <v>64</v>
      </c>
      <c r="AE8" s="6">
        <v>225</v>
      </c>
      <c r="AF8" t="s">
        <v>65</v>
      </c>
    </row>
    <row r="9" spans="2:32" x14ac:dyDescent="0.25">
      <c r="B9" t="s">
        <v>45</v>
      </c>
      <c r="H9" s="8">
        <v>0.2</v>
      </c>
      <c r="I9" t="s">
        <v>22</v>
      </c>
      <c r="AB9" s="20"/>
    </row>
    <row r="10" spans="2:32" x14ac:dyDescent="0.25">
      <c r="B10" t="s">
        <v>18</v>
      </c>
      <c r="H10" s="9">
        <v>10000</v>
      </c>
      <c r="I10" t="s">
        <v>48</v>
      </c>
      <c r="AB10" s="20"/>
      <c r="AC10" t="s">
        <v>66</v>
      </c>
    </row>
    <row r="11" spans="2:32" x14ac:dyDescent="0.25">
      <c r="AB11" s="20"/>
      <c r="AD11" t="s">
        <v>67</v>
      </c>
      <c r="AE11" s="9">
        <v>1200</v>
      </c>
    </row>
    <row r="12" spans="2:32" x14ac:dyDescent="0.25">
      <c r="B12" t="s">
        <v>49</v>
      </c>
      <c r="K12">
        <f>612*12</f>
        <v>7344</v>
      </c>
      <c r="L12">
        <f>K12/575000</f>
        <v>1.2772173913043479E-2</v>
      </c>
      <c r="AB12" s="20"/>
      <c r="AE12" s="9"/>
    </row>
    <row r="13" spans="2:32" x14ac:dyDescent="0.25">
      <c r="C13" t="s">
        <v>6</v>
      </c>
      <c r="H13" s="5">
        <v>0.01</v>
      </c>
      <c r="I13" t="s">
        <v>35</v>
      </c>
      <c r="AB13" s="20"/>
      <c r="AD13" t="s">
        <v>69</v>
      </c>
      <c r="AE13" s="6">
        <v>100</v>
      </c>
    </row>
    <row r="14" spans="2:32" x14ac:dyDescent="0.25">
      <c r="C14" t="s">
        <v>7</v>
      </c>
      <c r="H14" s="5">
        <v>7.4999999999999997E-3</v>
      </c>
      <c r="I14" t="s">
        <v>35</v>
      </c>
      <c r="K14" t="s">
        <v>39</v>
      </c>
      <c r="AB14" s="20"/>
    </row>
    <row r="15" spans="2:32" x14ac:dyDescent="0.25">
      <c r="C15" t="s">
        <v>13</v>
      </c>
      <c r="H15" s="5">
        <v>1.4999999999999999E-2</v>
      </c>
      <c r="I15" t="s">
        <v>25</v>
      </c>
      <c r="K15" t="s">
        <v>39</v>
      </c>
      <c r="AB15" s="20"/>
      <c r="AC15" t="s">
        <v>68</v>
      </c>
      <c r="AE15" s="6">
        <v>3</v>
      </c>
      <c r="AF15" t="s">
        <v>70</v>
      </c>
    </row>
    <row r="16" spans="2:32" x14ac:dyDescent="0.25">
      <c r="C16" t="s">
        <v>34</v>
      </c>
      <c r="H16" s="5">
        <v>1E-3</v>
      </c>
      <c r="I16" t="s">
        <v>35</v>
      </c>
      <c r="K16" t="s">
        <v>39</v>
      </c>
      <c r="AB16" s="20"/>
    </row>
    <row r="17" spans="1:45" x14ac:dyDescent="0.25">
      <c r="B17" t="s">
        <v>19</v>
      </c>
      <c r="H17" s="11">
        <v>0.02</v>
      </c>
      <c r="I17" t="s">
        <v>42</v>
      </c>
      <c r="K17" s="28" t="s">
        <v>84</v>
      </c>
      <c r="AB17" s="20"/>
      <c r="AC17" t="s">
        <v>5</v>
      </c>
      <c r="AE17" s="6">
        <v>1</v>
      </c>
      <c r="AF17" t="s">
        <v>71</v>
      </c>
    </row>
    <row r="18" spans="1:45" x14ac:dyDescent="0.25">
      <c r="C18" t="s">
        <v>46</v>
      </c>
      <c r="H18" s="11">
        <v>0.03</v>
      </c>
      <c r="I18" t="s">
        <v>24</v>
      </c>
      <c r="AB18" s="20"/>
      <c r="AC18" t="s">
        <v>74</v>
      </c>
      <c r="AE18" s="5">
        <v>0.04</v>
      </c>
      <c r="AF18" t="s">
        <v>63</v>
      </c>
    </row>
    <row r="19" spans="1:45" x14ac:dyDescent="0.25">
      <c r="AB19" s="20"/>
    </row>
    <row r="20" spans="1:45" x14ac:dyDescent="0.25">
      <c r="B20" t="s">
        <v>40</v>
      </c>
      <c r="H20" s="2">
        <v>1</v>
      </c>
      <c r="I20" t="s">
        <v>38</v>
      </c>
      <c r="AB20" s="20"/>
    </row>
    <row r="21" spans="1:45" x14ac:dyDescent="0.25">
      <c r="C21" t="s">
        <v>21</v>
      </c>
      <c r="H21" s="7">
        <v>520</v>
      </c>
      <c r="I21" t="s">
        <v>41</v>
      </c>
      <c r="AB21" s="20"/>
    </row>
    <row r="22" spans="1:45" x14ac:dyDescent="0.25">
      <c r="AB22" s="20"/>
    </row>
    <row r="23" spans="1:45" x14ac:dyDescent="0.25">
      <c r="B23" t="s">
        <v>36</v>
      </c>
      <c r="H23" s="6">
        <v>1</v>
      </c>
      <c r="I23" s="4" t="s">
        <v>37</v>
      </c>
      <c r="AB23" s="20"/>
    </row>
    <row r="24" spans="1:45" x14ac:dyDescent="0.25">
      <c r="B24" t="s">
        <v>26</v>
      </c>
      <c r="H24" s="5">
        <v>0.02</v>
      </c>
      <c r="I24" t="s">
        <v>24</v>
      </c>
      <c r="J24" t="s">
        <v>50</v>
      </c>
      <c r="K24" s="3">
        <f>(1+H24)^(1/12)-1</f>
        <v>1.6515813019202241E-3</v>
      </c>
      <c r="AB24" s="20"/>
    </row>
    <row r="25" spans="1:45" x14ac:dyDescent="0.25">
      <c r="AB25" s="20"/>
    </row>
    <row r="26" spans="1:45" x14ac:dyDescent="0.25">
      <c r="A26" s="21"/>
      <c r="B26" s="21"/>
      <c r="C26" s="21"/>
      <c r="D26" s="21"/>
      <c r="E26" s="21"/>
      <c r="F26" s="21"/>
      <c r="G26" s="24" t="s">
        <v>60</v>
      </c>
      <c r="H26" s="21"/>
      <c r="I26" s="21"/>
      <c r="J26" s="24" t="s">
        <v>59</v>
      </c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4" t="s">
        <v>52</v>
      </c>
      <c r="Z26" s="21"/>
      <c r="AA26" s="21"/>
      <c r="AB26" s="22"/>
      <c r="AC26" s="21"/>
      <c r="AD26" s="21"/>
      <c r="AE26" s="21"/>
      <c r="AF26" s="21"/>
      <c r="AG26" s="23" t="s">
        <v>72</v>
      </c>
      <c r="AH26" s="23"/>
      <c r="AI26" s="23"/>
      <c r="AJ26" s="23"/>
      <c r="AK26" s="23" t="s">
        <v>73</v>
      </c>
      <c r="AL26" s="23"/>
      <c r="AM26" s="23"/>
      <c r="AN26" s="23"/>
      <c r="AO26" s="23"/>
      <c r="AP26" s="23"/>
      <c r="AQ26" s="21"/>
      <c r="AR26" s="21"/>
      <c r="AS26" s="21"/>
    </row>
    <row r="27" spans="1:45" x14ac:dyDescent="0.25">
      <c r="C27" t="s">
        <v>29</v>
      </c>
      <c r="D27" t="s">
        <v>12</v>
      </c>
      <c r="E27" t="s">
        <v>30</v>
      </c>
      <c r="G27" t="s">
        <v>9</v>
      </c>
      <c r="H27" t="s">
        <v>14</v>
      </c>
      <c r="J27" t="s">
        <v>15</v>
      </c>
      <c r="K27" t="s">
        <v>7</v>
      </c>
      <c r="L27" t="s">
        <v>16</v>
      </c>
      <c r="M27" t="s">
        <v>17</v>
      </c>
      <c r="N27" t="s">
        <v>21</v>
      </c>
      <c r="P27" t="s">
        <v>11</v>
      </c>
      <c r="Q27" t="s">
        <v>57</v>
      </c>
      <c r="S27" t="s">
        <v>51</v>
      </c>
      <c r="T27" t="s">
        <v>28</v>
      </c>
      <c r="U27" t="s">
        <v>8</v>
      </c>
      <c r="V27" t="s">
        <v>10</v>
      </c>
      <c r="W27" t="s">
        <v>27</v>
      </c>
      <c r="Y27" t="s">
        <v>53</v>
      </c>
      <c r="Z27" t="s">
        <v>54</v>
      </c>
      <c r="AA27" t="s">
        <v>58</v>
      </c>
      <c r="AB27" s="20"/>
      <c r="AC27" t="s">
        <v>29</v>
      </c>
      <c r="AD27" t="s">
        <v>12</v>
      </c>
      <c r="AE27" t="s">
        <v>30</v>
      </c>
      <c r="AG27" s="19" t="s">
        <v>2</v>
      </c>
      <c r="AH27" s="19" t="s">
        <v>7</v>
      </c>
      <c r="AI27" s="19" t="s">
        <v>64</v>
      </c>
      <c r="AK27" s="19" t="s">
        <v>67</v>
      </c>
      <c r="AL27" s="19" t="s">
        <v>76</v>
      </c>
      <c r="AM27" s="19" t="s">
        <v>77</v>
      </c>
      <c r="AN27" s="19" t="s">
        <v>5</v>
      </c>
      <c r="AP27" s="19" t="s">
        <v>11</v>
      </c>
      <c r="AQ27" t="s">
        <v>57</v>
      </c>
    </row>
    <row r="28" spans="1:45" x14ac:dyDescent="0.25">
      <c r="C28">
        <f>0</f>
        <v>0</v>
      </c>
      <c r="D28">
        <f>DATEDIF($E$28,E28,"y")</f>
        <v>0</v>
      </c>
      <c r="E28" s="13">
        <f>Assumptions!E5</f>
        <v>45839</v>
      </c>
      <c r="F28" s="13"/>
      <c r="G28">
        <v>0</v>
      </c>
      <c r="H28">
        <v>0</v>
      </c>
      <c r="J28">
        <v>0</v>
      </c>
      <c r="K28">
        <v>0</v>
      </c>
      <c r="L28">
        <f>IF(MOD(C28,12),0,$H$16*T28)</f>
        <v>525</v>
      </c>
      <c r="M28">
        <v>0</v>
      </c>
      <c r="N28" s="16">
        <f>H21*$H$20</f>
        <v>520</v>
      </c>
      <c r="O28" s="16"/>
      <c r="P28" s="17">
        <f>-(H5*H9+H10)-SUM(G28:N28)</f>
        <v>-116045</v>
      </c>
      <c r="Q28" s="27">
        <v>1</v>
      </c>
      <c r="R28" s="14"/>
      <c r="S28" s="17">
        <f>T28</f>
        <v>525000</v>
      </c>
      <c r="T28" s="17">
        <f>H5</f>
        <v>525000</v>
      </c>
      <c r="U28" s="17"/>
      <c r="V28" s="17">
        <f>H5*(1-H9)</f>
        <v>420000</v>
      </c>
      <c r="W28" s="17">
        <f>T28-V28</f>
        <v>105000</v>
      </c>
      <c r="Y28">
        <f>(MONTH(E28)=MONTH(Assumptions!$E$6))*(YEAR(Assumptions!$E$6)=YEAR('Rent v Mortgage'!E28))</f>
        <v>0</v>
      </c>
      <c r="AB28" s="20"/>
      <c r="AC28">
        <f>C28</f>
        <v>0</v>
      </c>
      <c r="AD28">
        <f>YEAR(AE28)</f>
        <v>2025</v>
      </c>
      <c r="AE28" s="12">
        <f>E28</f>
        <v>45839</v>
      </c>
      <c r="AG28" s="19">
        <f>$AE$5</f>
        <v>3415.8460235069924</v>
      </c>
      <c r="AH28" s="19">
        <f>$AE$7*$AG$28</f>
        <v>256.18845176302443</v>
      </c>
      <c r="AI28" s="19">
        <f>IF(MOD(AC28,12),0,$AE$8)</f>
        <v>225</v>
      </c>
      <c r="AK28" s="19">
        <f>IF(MOD(AC28,($AE$15*12)),0,$AE$11)</f>
        <v>1200</v>
      </c>
      <c r="AL28" s="19">
        <f ca="1">IF(MOD(AC28,($AE$15*12)),0,$AG28-IFERROR(SUM(OFFSET(AL27,,,-$AE$15*12)),0))</f>
        <v>3415.8460235069924</v>
      </c>
      <c r="AM28" s="19">
        <f>IF(MOD(AC28,($AE$15*12)),0,$AE$13)</f>
        <v>100</v>
      </c>
      <c r="AP28" s="19">
        <f ca="1">SUM(AG28:AN28)*-1</f>
        <v>-8612.8804987770091</v>
      </c>
      <c r="AQ28" s="18">
        <f>Q28</f>
        <v>1</v>
      </c>
    </row>
    <row r="29" spans="1:45" x14ac:dyDescent="0.25">
      <c r="C29">
        <f>C28+1</f>
        <v>1</v>
      </c>
      <c r="D29">
        <f t="shared" ref="D29" si="0">DATEDIF($E$28,E29,"y")</f>
        <v>0</v>
      </c>
      <c r="E29" s="12">
        <f>EDATE(E28,1)</f>
        <v>45870</v>
      </c>
      <c r="F29" s="12"/>
      <c r="G29" s="15">
        <f>IF(Z29,-PPMT($H$8/12,C29,$H$7*12,$H$5*(1-$H$9)),0)</f>
        <v>344.27047975256926</v>
      </c>
      <c r="H29" s="15">
        <f>IF(Z29,($H$6-G29),0)</f>
        <v>2450</v>
      </c>
      <c r="I29" s="15"/>
      <c r="J29" s="16">
        <f>IF(Z29,($H$15*$H$5/12),0)</f>
        <v>656.25</v>
      </c>
      <c r="K29" s="16">
        <f>IF(Z29,($H$14*$H$5/12),0)</f>
        <v>328.125</v>
      </c>
      <c r="L29">
        <f>IF(MOD(C29,12),0,$H$16*T29)*Z29</f>
        <v>0</v>
      </c>
      <c r="M29">
        <f>IF(MOD(C29,3),0,$H$13*S29/4)*Z29</f>
        <v>0</v>
      </c>
      <c r="N29" s="16">
        <f>$H$21*Z29*$H$20</f>
        <v>520</v>
      </c>
      <c r="O29" s="16"/>
      <c r="P29" s="17">
        <f>-SUM(G29:N29)+Y29*W29</f>
        <v>-4298.6454797525694</v>
      </c>
      <c r="Q29">
        <f>Q28/(1+Assumptions!$E$8/12)</f>
        <v>0.99647083246834123</v>
      </c>
      <c r="S29" s="17">
        <f>IF(MOD(C29,12),S28,T29)*Z29</f>
        <v>525000</v>
      </c>
      <c r="T29" s="17">
        <f>T28*(1+$K$24)*Z29</f>
        <v>525867.08018350811</v>
      </c>
      <c r="U29" s="17">
        <f>V28*Z29</f>
        <v>420000</v>
      </c>
      <c r="V29" s="17">
        <f>U29-G29</f>
        <v>419655.72952024743</v>
      </c>
      <c r="W29" s="17">
        <f>T29-V29</f>
        <v>106211.35066326067</v>
      </c>
      <c r="Y29">
        <f>(MONTH(E29)=MONTH(Assumptions!$E$6))*(YEAR(Assumptions!$E$6)=YEAR('Rent v Mortgage'!E29))</f>
        <v>0</v>
      </c>
      <c r="Z29">
        <f>--(SUM($Y$28:Y28)&lt;1)*AA29</f>
        <v>1</v>
      </c>
      <c r="AA29">
        <f>(C29&lt;=$H$7*12)*1</f>
        <v>1</v>
      </c>
      <c r="AB29" s="20"/>
      <c r="AC29">
        <f>C29</f>
        <v>1</v>
      </c>
      <c r="AD29">
        <f>YEAR(AE29)</f>
        <v>2025</v>
      </c>
      <c r="AE29" s="12">
        <f>E29</f>
        <v>45870</v>
      </c>
      <c r="AG29" s="19">
        <f>AG28*(1+$AE$18*(MOD(AC29,12)=0))*Z29</f>
        <v>3415.8460235069924</v>
      </c>
      <c r="AH29" s="19">
        <f>$AE$7*$AG28*Z29</f>
        <v>256.18845176302443</v>
      </c>
      <c r="AI29" s="19">
        <f>IF(MOD(AC29,12),0,$AE$8)*Z29</f>
        <v>0</v>
      </c>
      <c r="AK29" s="19">
        <f>IF(MOD(AC29,($AE$15*12)),0,$AE$11)*Z29</f>
        <v>0</v>
      </c>
      <c r="AL29" s="19">
        <f ca="1">(IF(MOD(AC29,($AE$15*12)),0,$AG29-IFERROR(SUM(OFFSET(AL28,,,-$AE$15*12)),0))-SUM($AL$28:AL28)*(Z30=0))*(Z29=1)</f>
        <v>0</v>
      </c>
      <c r="AM29" s="19">
        <f>IF(MOD(AC29,($AE$15*12)),0,$AE$13)*Z29</f>
        <v>0</v>
      </c>
      <c r="AN29" s="19">
        <f>AG29*$AE$17*(Z30=0)</f>
        <v>0</v>
      </c>
      <c r="AP29" s="19">
        <f t="shared" ref="AP29:AP92" ca="1" si="1">SUM(AG29:AN29)*-1</f>
        <v>-3672.0344752700166</v>
      </c>
      <c r="AQ29" s="18">
        <f t="shared" ref="AQ29:AQ92" si="2">Q29</f>
        <v>0.99647083246834123</v>
      </c>
    </row>
    <row r="30" spans="1:45" x14ac:dyDescent="0.25">
      <c r="C30">
        <f t="shared" ref="C30:C93" si="3">C29+1</f>
        <v>2</v>
      </c>
      <c r="D30">
        <f t="shared" ref="D30:D93" si="4">DATEDIF($E$28,E30,"y")</f>
        <v>0</v>
      </c>
      <c r="E30" s="12">
        <f t="shared" ref="E30:E93" si="5">EDATE(E29,1)</f>
        <v>45901</v>
      </c>
      <c r="F30" s="12"/>
      <c r="G30" s="15">
        <f t="shared" ref="G30:G93" si="6">IF(Z30,-PPMT($H$8/12,C30,$H$7*12,$H$5*(1-$H$9)),0)</f>
        <v>346.27872421779239</v>
      </c>
      <c r="H30" s="15">
        <f t="shared" ref="H30:H93" si="7">IF(Z30,($H$6-G30),0)</f>
        <v>2447.991755534777</v>
      </c>
      <c r="I30" s="15"/>
      <c r="J30" s="16">
        <f t="shared" ref="J30:J93" si="8">IF(Z30,($H$15*$H$5/12),0)</f>
        <v>656.25</v>
      </c>
      <c r="K30" s="16">
        <f t="shared" ref="K30:K93" si="9">IF(Z30,($H$14*$H$5/12),0)</f>
        <v>328.125</v>
      </c>
      <c r="L30">
        <f t="shared" ref="L30:L93" si="10">IF(MOD(C30,12),0,$H$16*T30)*Z30</f>
        <v>0</v>
      </c>
      <c r="M30">
        <f t="shared" ref="M30:M93" si="11">IF(MOD(C30,3),0,$H$13*S30/4)*Z30</f>
        <v>0</v>
      </c>
      <c r="N30" s="16">
        <f t="shared" ref="N30:N93" si="12">$H$21*Z30*$H$20</f>
        <v>520</v>
      </c>
      <c r="O30" s="16"/>
      <c r="P30" s="17">
        <f t="shared" ref="P30:P93" si="13">-SUM(G30:N30)+Y30*W30</f>
        <v>-4298.6454797525694</v>
      </c>
      <c r="Q30">
        <f>Q29/(1+Assumptions!$E$8/12)</f>
        <v>0.99295411996014893</v>
      </c>
      <c r="S30" s="17">
        <f t="shared" ref="S30:S93" si="14">IF(MOD(C30,12),S29,T30)*Z30</f>
        <v>525000</v>
      </c>
      <c r="T30" s="17">
        <f>T29*(1+$K$24)*Z30</f>
        <v>526735.59242043458</v>
      </c>
      <c r="U30" s="17">
        <f t="shared" ref="U30:U93" si="15">V29*Z30</f>
        <v>419655.72952024743</v>
      </c>
      <c r="V30" s="17">
        <f t="shared" ref="V30:V93" si="16">U30-G30</f>
        <v>419309.45079602965</v>
      </c>
      <c r="W30" s="17">
        <f t="shared" ref="W30:W93" si="17">T30-V30</f>
        <v>107426.14162440493</v>
      </c>
      <c r="Y30">
        <f>(MONTH(E30)=MONTH(Assumptions!$E$6))*(YEAR(Assumptions!$E$6)=YEAR('Rent v Mortgage'!E30))</f>
        <v>0</v>
      </c>
      <c r="Z30">
        <f>--(SUM($Y$28:Y29)&lt;1)*AA30</f>
        <v>1</v>
      </c>
      <c r="AA30">
        <f t="shared" ref="AA30:AA93" si="18">(C30&lt;=$H$7*12)*1</f>
        <v>1</v>
      </c>
      <c r="AB30" s="20"/>
      <c r="AC30">
        <f t="shared" ref="AC30:AC93" si="19">C30</f>
        <v>2</v>
      </c>
      <c r="AD30">
        <f t="shared" ref="AD30:AD93" si="20">YEAR(AE30)</f>
        <v>2025</v>
      </c>
      <c r="AE30" s="12">
        <f t="shared" ref="AE30:AE93" si="21">E30</f>
        <v>45901</v>
      </c>
      <c r="AG30" s="19">
        <f t="shared" ref="AG30:AG93" si="22">AG29*(1+$AE$18*(MOD(AC30,12)=0))*Z30</f>
        <v>3415.8460235069924</v>
      </c>
      <c r="AH30" s="19">
        <f t="shared" ref="AH30:AH93" si="23">$AE$7*$AG29*Z30</f>
        <v>256.18845176302443</v>
      </c>
      <c r="AI30" s="19">
        <f t="shared" ref="AI30:AI93" si="24">IF(MOD(AC30,12),0,$AE$8)*Z30</f>
        <v>0</v>
      </c>
      <c r="AK30" s="19">
        <f t="shared" ref="AK30:AK93" si="25">IF(MOD(AC30,($AE$15*12)),0,$AE$11)*Z30</f>
        <v>0</v>
      </c>
      <c r="AL30" s="19">
        <f ca="1">(IF(MOD(AC30,($AE$15*12)),0,$AG30-IFERROR(SUM(OFFSET(AL29,,,-$AE$15*12)),0))-SUM($AL$28:AL29)*(Z31=0))*(Z30=1)</f>
        <v>0</v>
      </c>
      <c r="AM30" s="19">
        <f t="shared" ref="AM30:AM93" si="26">IF(MOD(AC30,($AE$15*12)),0,$AE$13)*Z30</f>
        <v>0</v>
      </c>
      <c r="AN30" s="19">
        <f t="shared" ref="AN30:AN93" si="27">AG30*$AE$17*(Z31=0)</f>
        <v>0</v>
      </c>
      <c r="AP30" s="19">
        <f t="shared" ca="1" si="1"/>
        <v>-3672.0344752700166</v>
      </c>
      <c r="AQ30" s="18">
        <f t="shared" si="2"/>
        <v>0.99295411996014893</v>
      </c>
    </row>
    <row r="31" spans="1:45" x14ac:dyDescent="0.25">
      <c r="C31">
        <f t="shared" si="3"/>
        <v>3</v>
      </c>
      <c r="D31">
        <f t="shared" si="4"/>
        <v>0</v>
      </c>
      <c r="E31" s="12">
        <f t="shared" si="5"/>
        <v>45931</v>
      </c>
      <c r="F31" s="12"/>
      <c r="G31" s="15">
        <f t="shared" si="6"/>
        <v>348.29868344239628</v>
      </c>
      <c r="H31" s="15">
        <f t="shared" si="7"/>
        <v>2445.971796310173</v>
      </c>
      <c r="I31" s="15"/>
      <c r="J31" s="16">
        <f t="shared" si="8"/>
        <v>656.25</v>
      </c>
      <c r="K31" s="16">
        <f t="shared" si="9"/>
        <v>328.125</v>
      </c>
      <c r="L31">
        <f t="shared" si="10"/>
        <v>0</v>
      </c>
      <c r="M31">
        <f t="shared" si="11"/>
        <v>1312.5</v>
      </c>
      <c r="N31" s="16">
        <f t="shared" si="12"/>
        <v>520</v>
      </c>
      <c r="O31" s="16"/>
      <c r="P31" s="17">
        <f t="shared" si="13"/>
        <v>-5611.1454797525694</v>
      </c>
      <c r="Q31">
        <f>Q30/(1+Assumptions!$E$8/12)</f>
        <v>0.98944981851955871</v>
      </c>
      <c r="S31" s="17">
        <f t="shared" si="14"/>
        <v>525000</v>
      </c>
      <c r="T31" s="17">
        <f>T30*(1+$K$24)*Z31</f>
        <v>527605.539075932</v>
      </c>
      <c r="U31" s="17">
        <f t="shared" si="15"/>
        <v>419309.45079602965</v>
      </c>
      <c r="V31" s="17">
        <f t="shared" si="16"/>
        <v>418961.15211258724</v>
      </c>
      <c r="W31" s="17">
        <f t="shared" si="17"/>
        <v>108644.38696334476</v>
      </c>
      <c r="Y31">
        <f>(MONTH(E31)=MONTH(Assumptions!$E$6))*(YEAR(Assumptions!$E$6)=YEAR('Rent v Mortgage'!E31))</f>
        <v>0</v>
      </c>
      <c r="Z31">
        <f>--(SUM($Y$28:Y30)&lt;1)*AA31</f>
        <v>1</v>
      </c>
      <c r="AA31">
        <f t="shared" si="18"/>
        <v>1</v>
      </c>
      <c r="AB31" s="20"/>
      <c r="AC31">
        <f t="shared" si="19"/>
        <v>3</v>
      </c>
      <c r="AD31">
        <f t="shared" si="20"/>
        <v>2025</v>
      </c>
      <c r="AE31" s="12">
        <f t="shared" si="21"/>
        <v>45931</v>
      </c>
      <c r="AG31" s="19">
        <f t="shared" si="22"/>
        <v>3415.8460235069924</v>
      </c>
      <c r="AH31" s="19">
        <f t="shared" si="23"/>
        <v>256.18845176302443</v>
      </c>
      <c r="AI31" s="19">
        <f t="shared" si="24"/>
        <v>0</v>
      </c>
      <c r="AK31" s="19">
        <f t="shared" si="25"/>
        <v>0</v>
      </c>
      <c r="AL31" s="19">
        <f ca="1">(IF(MOD(AC31,($AE$15*12)),0,$AG31-IFERROR(SUM(OFFSET(AL30,,,-$AE$15*12)),0))-SUM($AL$28:AL30)*(Z32=0))*(Z31=1)</f>
        <v>0</v>
      </c>
      <c r="AM31" s="19">
        <f t="shared" si="26"/>
        <v>0</v>
      </c>
      <c r="AN31" s="19">
        <f t="shared" si="27"/>
        <v>0</v>
      </c>
      <c r="AP31" s="19">
        <f t="shared" ca="1" si="1"/>
        <v>-3672.0344752700166</v>
      </c>
      <c r="AQ31" s="18">
        <f t="shared" si="2"/>
        <v>0.98944981851955871</v>
      </c>
    </row>
    <row r="32" spans="1:45" x14ac:dyDescent="0.25">
      <c r="C32">
        <f t="shared" si="3"/>
        <v>4</v>
      </c>
      <c r="D32">
        <f t="shared" si="4"/>
        <v>0</v>
      </c>
      <c r="E32" s="12">
        <f t="shared" si="5"/>
        <v>45962</v>
      </c>
      <c r="F32" s="12"/>
      <c r="G32" s="15">
        <f t="shared" si="6"/>
        <v>350.33042576247692</v>
      </c>
      <c r="H32" s="15">
        <f t="shared" si="7"/>
        <v>2443.9400539900926</v>
      </c>
      <c r="I32" s="15"/>
      <c r="J32" s="16">
        <f t="shared" si="8"/>
        <v>656.25</v>
      </c>
      <c r="K32" s="16">
        <f t="shared" si="9"/>
        <v>328.125</v>
      </c>
      <c r="L32">
        <f t="shared" si="10"/>
        <v>0</v>
      </c>
      <c r="M32">
        <f t="shared" si="11"/>
        <v>0</v>
      </c>
      <c r="N32" s="16">
        <f t="shared" si="12"/>
        <v>520</v>
      </c>
      <c r="O32" s="16"/>
      <c r="P32" s="17">
        <f t="shared" si="13"/>
        <v>-4298.6454797525694</v>
      </c>
      <c r="Q32">
        <f>Q31/(1+Assumptions!$E$8/12)</f>
        <v>0.98595788434583376</v>
      </c>
      <c r="S32" s="17">
        <f t="shared" si="14"/>
        <v>525000</v>
      </c>
      <c r="T32" s="17">
        <f>T31*(1+$K$24)*Z32</f>
        <v>528476.92251905939</v>
      </c>
      <c r="U32" s="17">
        <f t="shared" si="15"/>
        <v>418961.15211258724</v>
      </c>
      <c r="V32" s="17">
        <f t="shared" si="16"/>
        <v>418610.82168682478</v>
      </c>
      <c r="W32" s="17">
        <f t="shared" si="17"/>
        <v>109866.1008322346</v>
      </c>
      <c r="Y32">
        <f>(MONTH(E32)=MONTH(Assumptions!$E$6))*(YEAR(Assumptions!$E$6)=YEAR('Rent v Mortgage'!E32))</f>
        <v>0</v>
      </c>
      <c r="Z32">
        <f>--(SUM($Y$28:Y31)&lt;1)*AA32</f>
        <v>1</v>
      </c>
      <c r="AA32">
        <f t="shared" si="18"/>
        <v>1</v>
      </c>
      <c r="AB32" s="20"/>
      <c r="AC32">
        <f t="shared" si="19"/>
        <v>4</v>
      </c>
      <c r="AD32">
        <f t="shared" si="20"/>
        <v>2025</v>
      </c>
      <c r="AE32" s="12">
        <f t="shared" si="21"/>
        <v>45962</v>
      </c>
      <c r="AG32" s="19">
        <f t="shared" si="22"/>
        <v>3415.8460235069924</v>
      </c>
      <c r="AH32" s="19">
        <f t="shared" si="23"/>
        <v>256.18845176302443</v>
      </c>
      <c r="AI32" s="19">
        <f t="shared" si="24"/>
        <v>0</v>
      </c>
      <c r="AK32" s="19">
        <f t="shared" si="25"/>
        <v>0</v>
      </c>
      <c r="AL32" s="19">
        <f ca="1">(IF(MOD(AC32,($AE$15*12)),0,$AG32-IFERROR(SUM(OFFSET(AL31,,,-$AE$15*12)),0))-SUM($AL$28:AL31)*(Z33=0))*(Z32=1)</f>
        <v>0</v>
      </c>
      <c r="AM32" s="19">
        <f t="shared" si="26"/>
        <v>0</v>
      </c>
      <c r="AN32" s="19">
        <f t="shared" si="27"/>
        <v>0</v>
      </c>
      <c r="AP32" s="19">
        <f t="shared" ca="1" si="1"/>
        <v>-3672.0344752700166</v>
      </c>
      <c r="AQ32" s="18">
        <f t="shared" si="2"/>
        <v>0.98595788434583376</v>
      </c>
    </row>
    <row r="33" spans="3:43" x14ac:dyDescent="0.25">
      <c r="C33">
        <f t="shared" si="3"/>
        <v>5</v>
      </c>
      <c r="D33">
        <f t="shared" si="4"/>
        <v>0</v>
      </c>
      <c r="E33" s="12">
        <f t="shared" si="5"/>
        <v>45992</v>
      </c>
      <c r="F33" s="12"/>
      <c r="G33" s="15">
        <f t="shared" si="6"/>
        <v>352.37401991275806</v>
      </c>
      <c r="H33" s="15">
        <f t="shared" si="7"/>
        <v>2441.8964598398115</v>
      </c>
      <c r="I33" s="15"/>
      <c r="J33" s="16">
        <f t="shared" si="8"/>
        <v>656.25</v>
      </c>
      <c r="K33" s="16">
        <f t="shared" si="9"/>
        <v>328.125</v>
      </c>
      <c r="L33">
        <f t="shared" si="10"/>
        <v>0</v>
      </c>
      <c r="M33">
        <f t="shared" si="11"/>
        <v>0</v>
      </c>
      <c r="N33" s="16">
        <f t="shared" si="12"/>
        <v>520</v>
      </c>
      <c r="O33" s="16"/>
      <c r="P33" s="17">
        <f t="shared" si="13"/>
        <v>-4298.6454797525694</v>
      </c>
      <c r="Q33">
        <f>Q32/(1+Assumptions!$E$8/12)</f>
        <v>0.98247827379281738</v>
      </c>
      <c r="S33" s="17">
        <f t="shared" si="14"/>
        <v>525000</v>
      </c>
      <c r="T33" s="17">
        <f>T32*(1+$K$24)*Z33</f>
        <v>529349.74512278824</v>
      </c>
      <c r="U33" s="17">
        <f t="shared" si="15"/>
        <v>418610.82168682478</v>
      </c>
      <c r="V33" s="17">
        <f t="shared" si="16"/>
        <v>418258.44766691205</v>
      </c>
      <c r="W33" s="17">
        <f t="shared" si="17"/>
        <v>111091.29745587619</v>
      </c>
      <c r="Y33">
        <f>(MONTH(E33)=MONTH(Assumptions!$E$6))*(YEAR(Assumptions!$E$6)=YEAR('Rent v Mortgage'!E33))</f>
        <v>0</v>
      </c>
      <c r="Z33">
        <f>--(SUM($Y$28:Y32)&lt;1)*AA33</f>
        <v>1</v>
      </c>
      <c r="AA33">
        <f t="shared" si="18"/>
        <v>1</v>
      </c>
      <c r="AB33" s="20"/>
      <c r="AC33">
        <f t="shared" si="19"/>
        <v>5</v>
      </c>
      <c r="AD33">
        <f t="shared" si="20"/>
        <v>2025</v>
      </c>
      <c r="AE33" s="12">
        <f t="shared" si="21"/>
        <v>45992</v>
      </c>
      <c r="AG33" s="19">
        <f t="shared" si="22"/>
        <v>3415.8460235069924</v>
      </c>
      <c r="AH33" s="19">
        <f t="shared" si="23"/>
        <v>256.18845176302443</v>
      </c>
      <c r="AI33" s="19">
        <f t="shared" si="24"/>
        <v>0</v>
      </c>
      <c r="AK33" s="19">
        <f t="shared" si="25"/>
        <v>0</v>
      </c>
      <c r="AL33" s="19">
        <f ca="1">(IF(MOD(AC33,($AE$15*12)),0,$AG33-IFERROR(SUM(OFFSET(AL32,,,-$AE$15*12)),0))-SUM($AL$28:AL32)*(Z34=0))*(Z33=1)</f>
        <v>0</v>
      </c>
      <c r="AM33" s="19">
        <f t="shared" si="26"/>
        <v>0</v>
      </c>
      <c r="AN33" s="19">
        <f t="shared" si="27"/>
        <v>0</v>
      </c>
      <c r="AP33" s="19">
        <f t="shared" ca="1" si="1"/>
        <v>-3672.0344752700166</v>
      </c>
      <c r="AQ33" s="18">
        <f t="shared" si="2"/>
        <v>0.98247827379281738</v>
      </c>
    </row>
    <row r="34" spans="3:43" x14ac:dyDescent="0.25">
      <c r="C34">
        <f t="shared" si="3"/>
        <v>6</v>
      </c>
      <c r="D34">
        <f t="shared" si="4"/>
        <v>0</v>
      </c>
      <c r="E34" s="12">
        <f t="shared" si="5"/>
        <v>46023</v>
      </c>
      <c r="F34" s="12"/>
      <c r="G34" s="15">
        <f t="shared" si="6"/>
        <v>354.42953502891584</v>
      </c>
      <c r="H34" s="15">
        <f t="shared" si="7"/>
        <v>2439.8409447236536</v>
      </c>
      <c r="I34" s="15"/>
      <c r="J34" s="16">
        <f t="shared" si="8"/>
        <v>656.25</v>
      </c>
      <c r="K34" s="16">
        <f t="shared" si="9"/>
        <v>328.125</v>
      </c>
      <c r="L34">
        <f t="shared" si="10"/>
        <v>0</v>
      </c>
      <c r="M34">
        <f t="shared" si="11"/>
        <v>1312.5</v>
      </c>
      <c r="N34" s="16">
        <f t="shared" si="12"/>
        <v>520</v>
      </c>
      <c r="O34" s="16"/>
      <c r="P34" s="17">
        <f t="shared" si="13"/>
        <v>-5611.1454797525694</v>
      </c>
      <c r="Q34">
        <f>Q33/(1+Assumptions!$E$8/12)</f>
        <v>0.97901094336838757</v>
      </c>
      <c r="S34" s="17">
        <f t="shared" si="14"/>
        <v>525000</v>
      </c>
      <c r="T34" s="17">
        <f>T33*(1+$K$24)*Z34</f>
        <v>530224.00926400931</v>
      </c>
      <c r="U34" s="17">
        <f t="shared" si="15"/>
        <v>418258.44766691205</v>
      </c>
      <c r="V34" s="17">
        <f t="shared" si="16"/>
        <v>417904.01813188312</v>
      </c>
      <c r="W34" s="17">
        <f t="shared" si="17"/>
        <v>112319.99113212619</v>
      </c>
      <c r="Y34">
        <f>(MONTH(E34)=MONTH(Assumptions!$E$6))*(YEAR(Assumptions!$E$6)=YEAR('Rent v Mortgage'!E34))</f>
        <v>0</v>
      </c>
      <c r="Z34">
        <f>--(SUM($Y$28:Y33)&lt;1)*AA34</f>
        <v>1</v>
      </c>
      <c r="AA34">
        <f t="shared" si="18"/>
        <v>1</v>
      </c>
      <c r="AB34" s="20"/>
      <c r="AC34">
        <f t="shared" si="19"/>
        <v>6</v>
      </c>
      <c r="AD34">
        <f t="shared" si="20"/>
        <v>2026</v>
      </c>
      <c r="AE34" s="12">
        <f t="shared" si="21"/>
        <v>46023</v>
      </c>
      <c r="AG34" s="19">
        <f t="shared" si="22"/>
        <v>3415.8460235069924</v>
      </c>
      <c r="AH34" s="19">
        <f t="shared" si="23"/>
        <v>256.18845176302443</v>
      </c>
      <c r="AI34" s="19">
        <f t="shared" si="24"/>
        <v>0</v>
      </c>
      <c r="AK34" s="19">
        <f t="shared" si="25"/>
        <v>0</v>
      </c>
      <c r="AL34" s="19">
        <f ca="1">(IF(MOD(AC34,($AE$15*12)),0,$AG34-IFERROR(SUM(OFFSET(AL33,,,-$AE$15*12)),0))-SUM($AL$28:AL33)*(Z35=0))*(Z34=1)</f>
        <v>0</v>
      </c>
      <c r="AM34" s="19">
        <f t="shared" si="26"/>
        <v>0</v>
      </c>
      <c r="AN34" s="19">
        <f t="shared" si="27"/>
        <v>0</v>
      </c>
      <c r="AP34" s="19">
        <f t="shared" ca="1" si="1"/>
        <v>-3672.0344752700166</v>
      </c>
      <c r="AQ34" s="18">
        <f t="shared" si="2"/>
        <v>0.97901094336838757</v>
      </c>
    </row>
    <row r="35" spans="3:43" x14ac:dyDescent="0.25">
      <c r="C35">
        <f t="shared" si="3"/>
        <v>7</v>
      </c>
      <c r="D35">
        <f t="shared" si="4"/>
        <v>0</v>
      </c>
      <c r="E35" s="12">
        <f t="shared" si="5"/>
        <v>46054</v>
      </c>
      <c r="F35" s="12"/>
      <c r="G35" s="15">
        <f t="shared" si="6"/>
        <v>356.49704064991778</v>
      </c>
      <c r="H35" s="15">
        <f t="shared" si="7"/>
        <v>2437.7734391026515</v>
      </c>
      <c r="I35" s="15"/>
      <c r="J35" s="16">
        <f t="shared" si="8"/>
        <v>656.25</v>
      </c>
      <c r="K35" s="16">
        <f t="shared" si="9"/>
        <v>328.125</v>
      </c>
      <c r="L35">
        <f t="shared" si="10"/>
        <v>0</v>
      </c>
      <c r="M35">
        <f t="shared" si="11"/>
        <v>0</v>
      </c>
      <c r="N35" s="16">
        <f t="shared" si="12"/>
        <v>520</v>
      </c>
      <c r="O35" s="16"/>
      <c r="P35" s="17">
        <f t="shared" si="13"/>
        <v>-4298.6454797525694</v>
      </c>
      <c r="Q35">
        <f>Q34/(1+Assumptions!$E$8/12)</f>
        <v>0.97555584973391318</v>
      </c>
      <c r="S35" s="17">
        <f t="shared" si="14"/>
        <v>525000</v>
      </c>
      <c r="T35" s="17">
        <f>T34*(1+$K$24)*Z35</f>
        <v>531099.71732353896</v>
      </c>
      <c r="U35" s="17">
        <f t="shared" si="15"/>
        <v>417904.01813188312</v>
      </c>
      <c r="V35" s="17">
        <f t="shared" si="16"/>
        <v>417547.52109123318</v>
      </c>
      <c r="W35" s="17">
        <f t="shared" si="17"/>
        <v>113552.19623230578</v>
      </c>
      <c r="Y35">
        <f>(MONTH(E35)=MONTH(Assumptions!$E$6))*(YEAR(Assumptions!$E$6)=YEAR('Rent v Mortgage'!E35))</f>
        <v>0</v>
      </c>
      <c r="Z35">
        <f>--(SUM($Y$28:Y34)&lt;1)*AA35</f>
        <v>1</v>
      </c>
      <c r="AA35">
        <f t="shared" si="18"/>
        <v>1</v>
      </c>
      <c r="AB35" s="20"/>
      <c r="AC35">
        <f t="shared" si="19"/>
        <v>7</v>
      </c>
      <c r="AD35">
        <f t="shared" si="20"/>
        <v>2026</v>
      </c>
      <c r="AE35" s="12">
        <f t="shared" si="21"/>
        <v>46054</v>
      </c>
      <c r="AG35" s="19">
        <f t="shared" si="22"/>
        <v>3415.8460235069924</v>
      </c>
      <c r="AH35" s="19">
        <f t="shared" si="23"/>
        <v>256.18845176302443</v>
      </c>
      <c r="AI35" s="19">
        <f t="shared" si="24"/>
        <v>0</v>
      </c>
      <c r="AK35" s="19">
        <f t="shared" si="25"/>
        <v>0</v>
      </c>
      <c r="AL35" s="19">
        <f ca="1">(IF(MOD(AC35,($AE$15*12)),0,$AG35-IFERROR(SUM(OFFSET(AL34,,,-$AE$15*12)),0))-SUM($AL$28:AL34)*(Z36=0))*(Z35=1)</f>
        <v>0</v>
      </c>
      <c r="AM35" s="19">
        <f t="shared" si="26"/>
        <v>0</v>
      </c>
      <c r="AN35" s="19">
        <f t="shared" si="27"/>
        <v>0</v>
      </c>
      <c r="AP35" s="19">
        <f t="shared" ca="1" si="1"/>
        <v>-3672.0344752700166</v>
      </c>
      <c r="AQ35" s="18">
        <f t="shared" si="2"/>
        <v>0.97555584973391318</v>
      </c>
    </row>
    <row r="36" spans="3:43" x14ac:dyDescent="0.25">
      <c r="C36">
        <f t="shared" si="3"/>
        <v>8</v>
      </c>
      <c r="D36">
        <f t="shared" si="4"/>
        <v>0</v>
      </c>
      <c r="E36" s="12">
        <f t="shared" si="5"/>
        <v>46082</v>
      </c>
      <c r="F36" s="12"/>
      <c r="G36" s="15">
        <f t="shared" si="6"/>
        <v>358.57660672037559</v>
      </c>
      <c r="H36" s="15">
        <f t="shared" si="7"/>
        <v>2435.6938730321936</v>
      </c>
      <c r="I36" s="15"/>
      <c r="J36" s="16">
        <f t="shared" si="8"/>
        <v>656.25</v>
      </c>
      <c r="K36" s="16">
        <f t="shared" si="9"/>
        <v>328.125</v>
      </c>
      <c r="L36">
        <f t="shared" si="10"/>
        <v>0</v>
      </c>
      <c r="M36">
        <f t="shared" si="11"/>
        <v>0</v>
      </c>
      <c r="N36" s="16">
        <f t="shared" si="12"/>
        <v>520</v>
      </c>
      <c r="O36" s="16"/>
      <c r="P36" s="17">
        <f t="shared" si="13"/>
        <v>-4298.6454797525694</v>
      </c>
      <c r="Q36">
        <f>Q35/(1+Assumptions!$E$8/12)</f>
        <v>0.97211294970371243</v>
      </c>
      <c r="S36" s="17">
        <f t="shared" si="14"/>
        <v>525000</v>
      </c>
      <c r="T36" s="17">
        <f>T35*(1+$K$24)*Z36</f>
        <v>531976.87168612564</v>
      </c>
      <c r="U36" s="17">
        <f t="shared" si="15"/>
        <v>417547.52109123318</v>
      </c>
      <c r="V36" s="17">
        <f t="shared" si="16"/>
        <v>417188.94448451279</v>
      </c>
      <c r="W36" s="17">
        <f t="shared" si="17"/>
        <v>114787.92720161285</v>
      </c>
      <c r="Y36">
        <f>(MONTH(E36)=MONTH(Assumptions!$E$6))*(YEAR(Assumptions!$E$6)=YEAR('Rent v Mortgage'!E36))</f>
        <v>0</v>
      </c>
      <c r="Z36">
        <f>--(SUM($Y$28:Y35)&lt;1)*AA36</f>
        <v>1</v>
      </c>
      <c r="AA36">
        <f t="shared" si="18"/>
        <v>1</v>
      </c>
      <c r="AB36" s="20"/>
      <c r="AC36">
        <f t="shared" si="19"/>
        <v>8</v>
      </c>
      <c r="AD36">
        <f t="shared" si="20"/>
        <v>2026</v>
      </c>
      <c r="AE36" s="12">
        <f t="shared" si="21"/>
        <v>46082</v>
      </c>
      <c r="AG36" s="19">
        <f t="shared" si="22"/>
        <v>3415.8460235069924</v>
      </c>
      <c r="AH36" s="19">
        <f t="shared" si="23"/>
        <v>256.18845176302443</v>
      </c>
      <c r="AI36" s="19">
        <f t="shared" si="24"/>
        <v>0</v>
      </c>
      <c r="AK36" s="19">
        <f t="shared" si="25"/>
        <v>0</v>
      </c>
      <c r="AL36" s="19">
        <f ca="1">(IF(MOD(AC36,($AE$15*12)),0,$AG36-IFERROR(SUM(OFFSET(AL35,,,-$AE$15*12)),0))-SUM($AL$28:AL35)*(Z37=0))*(Z36=1)</f>
        <v>0</v>
      </c>
      <c r="AM36" s="19">
        <f t="shared" si="26"/>
        <v>0</v>
      </c>
      <c r="AN36" s="19">
        <f t="shared" si="27"/>
        <v>0</v>
      </c>
      <c r="AP36" s="19">
        <f t="shared" ca="1" si="1"/>
        <v>-3672.0344752700166</v>
      </c>
      <c r="AQ36" s="18">
        <f t="shared" si="2"/>
        <v>0.97211294970371243</v>
      </c>
    </row>
    <row r="37" spans="3:43" x14ac:dyDescent="0.25">
      <c r="C37">
        <f t="shared" si="3"/>
        <v>9</v>
      </c>
      <c r="D37">
        <f t="shared" si="4"/>
        <v>0</v>
      </c>
      <c r="E37" s="12">
        <f t="shared" si="5"/>
        <v>46113</v>
      </c>
      <c r="F37" s="12"/>
      <c r="G37" s="15">
        <f t="shared" si="6"/>
        <v>360.66830359291117</v>
      </c>
      <c r="H37" s="15">
        <f t="shared" si="7"/>
        <v>2433.602176159658</v>
      </c>
      <c r="I37" s="15"/>
      <c r="J37" s="16">
        <f t="shared" si="8"/>
        <v>656.25</v>
      </c>
      <c r="K37" s="16">
        <f t="shared" si="9"/>
        <v>328.125</v>
      </c>
      <c r="L37">
        <f t="shared" si="10"/>
        <v>0</v>
      </c>
      <c r="M37">
        <f t="shared" si="11"/>
        <v>1312.5</v>
      </c>
      <c r="N37" s="16">
        <f t="shared" si="12"/>
        <v>520</v>
      </c>
      <c r="O37" s="16"/>
      <c r="P37" s="17">
        <f t="shared" si="13"/>
        <v>-5611.1454797525694</v>
      </c>
      <c r="Q37">
        <f>Q36/(1+Assumptions!$E$8/12)</f>
        <v>0.96868220024451301</v>
      </c>
      <c r="S37" s="17">
        <f t="shared" si="14"/>
        <v>525000</v>
      </c>
      <c r="T37" s="17">
        <f>T36*(1+$K$24)*Z37</f>
        <v>532855.47474045644</v>
      </c>
      <c r="U37" s="17">
        <f t="shared" si="15"/>
        <v>417188.94448451279</v>
      </c>
      <c r="V37" s="17">
        <f t="shared" si="16"/>
        <v>416828.2761809199</v>
      </c>
      <c r="W37" s="17">
        <f t="shared" si="17"/>
        <v>116027.19855953654</v>
      </c>
      <c r="Y37">
        <f>(MONTH(E37)=MONTH(Assumptions!$E$6))*(YEAR(Assumptions!$E$6)=YEAR('Rent v Mortgage'!E37))</f>
        <v>0</v>
      </c>
      <c r="Z37">
        <f>--(SUM($Y$28:Y36)&lt;1)*AA37</f>
        <v>1</v>
      </c>
      <c r="AA37">
        <f t="shared" si="18"/>
        <v>1</v>
      </c>
      <c r="AB37" s="20"/>
      <c r="AC37">
        <f t="shared" si="19"/>
        <v>9</v>
      </c>
      <c r="AD37">
        <f t="shared" si="20"/>
        <v>2026</v>
      </c>
      <c r="AE37" s="12">
        <f t="shared" si="21"/>
        <v>46113</v>
      </c>
      <c r="AG37" s="19">
        <f t="shared" si="22"/>
        <v>3415.8460235069924</v>
      </c>
      <c r="AH37" s="19">
        <f t="shared" si="23"/>
        <v>256.18845176302443</v>
      </c>
      <c r="AI37" s="19">
        <f t="shared" si="24"/>
        <v>0</v>
      </c>
      <c r="AK37" s="19">
        <f t="shared" si="25"/>
        <v>0</v>
      </c>
      <c r="AL37" s="19">
        <f ca="1">(IF(MOD(AC37,($AE$15*12)),0,$AG37-IFERROR(SUM(OFFSET(AL36,,,-$AE$15*12)),0))-SUM($AL$28:AL36)*(Z38=0))*(Z37=1)</f>
        <v>0</v>
      </c>
      <c r="AM37" s="19">
        <f t="shared" si="26"/>
        <v>0</v>
      </c>
      <c r="AN37" s="19">
        <f t="shared" si="27"/>
        <v>0</v>
      </c>
      <c r="AP37" s="19">
        <f t="shared" ca="1" si="1"/>
        <v>-3672.0344752700166</v>
      </c>
      <c r="AQ37" s="18">
        <f t="shared" si="2"/>
        <v>0.96868220024451301</v>
      </c>
    </row>
    <row r="38" spans="3:43" x14ac:dyDescent="0.25">
      <c r="C38">
        <f t="shared" si="3"/>
        <v>10</v>
      </c>
      <c r="D38">
        <f t="shared" si="4"/>
        <v>0</v>
      </c>
      <c r="E38" s="12">
        <f t="shared" si="5"/>
        <v>46143</v>
      </c>
      <c r="F38" s="12"/>
      <c r="G38" s="15">
        <f t="shared" si="6"/>
        <v>362.7722020305365</v>
      </c>
      <c r="H38" s="15">
        <f t="shared" si="7"/>
        <v>2431.498277722033</v>
      </c>
      <c r="I38" s="15"/>
      <c r="J38" s="16">
        <f t="shared" si="8"/>
        <v>656.25</v>
      </c>
      <c r="K38" s="16">
        <f t="shared" si="9"/>
        <v>328.125</v>
      </c>
      <c r="L38">
        <f t="shared" si="10"/>
        <v>0</v>
      </c>
      <c r="M38">
        <f t="shared" si="11"/>
        <v>0</v>
      </c>
      <c r="N38" s="16">
        <f t="shared" si="12"/>
        <v>520</v>
      </c>
      <c r="O38" s="16"/>
      <c r="P38" s="17">
        <f t="shared" si="13"/>
        <v>-4298.6454797525694</v>
      </c>
      <c r="Q38">
        <f>Q37/(1+Assumptions!$E$8/12)</f>
        <v>0.9652635584749143</v>
      </c>
      <c r="S38" s="17">
        <f t="shared" si="14"/>
        <v>525000</v>
      </c>
      <c r="T38" s="17">
        <f>T37*(1+$K$24)*Z38</f>
        <v>533735.52887916355</v>
      </c>
      <c r="U38" s="17">
        <f t="shared" si="15"/>
        <v>416828.2761809199</v>
      </c>
      <c r="V38" s="17">
        <f t="shared" si="16"/>
        <v>416465.50397888938</v>
      </c>
      <c r="W38" s="17">
        <f t="shared" si="17"/>
        <v>117270.02490027418</v>
      </c>
      <c r="Y38">
        <f>(MONTH(E38)=MONTH(Assumptions!$E$6))*(YEAR(Assumptions!$E$6)=YEAR('Rent v Mortgage'!E38))</f>
        <v>0</v>
      </c>
      <c r="Z38">
        <f>--(SUM($Y$28:Y37)&lt;1)*AA38</f>
        <v>1</v>
      </c>
      <c r="AA38">
        <f t="shared" si="18"/>
        <v>1</v>
      </c>
      <c r="AB38" s="20"/>
      <c r="AC38">
        <f t="shared" si="19"/>
        <v>10</v>
      </c>
      <c r="AD38">
        <f t="shared" si="20"/>
        <v>2026</v>
      </c>
      <c r="AE38" s="12">
        <f t="shared" si="21"/>
        <v>46143</v>
      </c>
      <c r="AG38" s="19">
        <f t="shared" si="22"/>
        <v>3415.8460235069924</v>
      </c>
      <c r="AH38" s="19">
        <f t="shared" si="23"/>
        <v>256.18845176302443</v>
      </c>
      <c r="AI38" s="19">
        <f t="shared" si="24"/>
        <v>0</v>
      </c>
      <c r="AK38" s="19">
        <f t="shared" si="25"/>
        <v>0</v>
      </c>
      <c r="AL38" s="19">
        <f ca="1">(IF(MOD(AC38,($AE$15*12)),0,$AG38-IFERROR(SUM(OFFSET(AL37,,,-$AE$15*12)),0))-SUM($AL$28:AL37)*(Z39=0))*(Z38=1)</f>
        <v>0</v>
      </c>
      <c r="AM38" s="19">
        <f t="shared" si="26"/>
        <v>0</v>
      </c>
      <c r="AN38" s="19">
        <f t="shared" si="27"/>
        <v>0</v>
      </c>
      <c r="AP38" s="19">
        <f t="shared" ca="1" si="1"/>
        <v>-3672.0344752700166</v>
      </c>
      <c r="AQ38" s="18">
        <f t="shared" si="2"/>
        <v>0.9652635584749143</v>
      </c>
    </row>
    <row r="39" spans="3:43" x14ac:dyDescent="0.25">
      <c r="C39">
        <f t="shared" si="3"/>
        <v>11</v>
      </c>
      <c r="D39">
        <f t="shared" si="4"/>
        <v>0</v>
      </c>
      <c r="E39" s="12">
        <f t="shared" si="5"/>
        <v>46174</v>
      </c>
      <c r="F39" s="12"/>
      <c r="G39" s="15">
        <f t="shared" si="6"/>
        <v>364.88837320904798</v>
      </c>
      <c r="H39" s="15">
        <f t="shared" si="7"/>
        <v>2429.3821065435213</v>
      </c>
      <c r="I39" s="15"/>
      <c r="J39" s="16">
        <f t="shared" si="8"/>
        <v>656.25</v>
      </c>
      <c r="K39" s="16">
        <f t="shared" si="9"/>
        <v>328.125</v>
      </c>
      <c r="L39">
        <f t="shared" si="10"/>
        <v>0</v>
      </c>
      <c r="M39">
        <f t="shared" si="11"/>
        <v>0</v>
      </c>
      <c r="N39" s="16">
        <f t="shared" si="12"/>
        <v>520</v>
      </c>
      <c r="O39" s="16"/>
      <c r="P39" s="17">
        <f t="shared" si="13"/>
        <v>-4298.6454797525694</v>
      </c>
      <c r="Q39">
        <f>Q38/(1+Assumptions!$E$8/12)</f>
        <v>0.96185698166485123</v>
      </c>
      <c r="S39" s="17">
        <f t="shared" si="14"/>
        <v>525000</v>
      </c>
      <c r="T39" s="17">
        <f>T38*(1+$K$24)*Z39</f>
        <v>534617.03649883089</v>
      </c>
      <c r="U39" s="17">
        <f t="shared" si="15"/>
        <v>416465.50397888938</v>
      </c>
      <c r="V39" s="17">
        <f t="shared" si="16"/>
        <v>416100.61560568033</v>
      </c>
      <c r="W39" s="17">
        <f t="shared" si="17"/>
        <v>118516.42089315056</v>
      </c>
      <c r="Y39">
        <f>(MONTH(E39)=MONTH(Assumptions!$E$6))*(YEAR(Assumptions!$E$6)=YEAR('Rent v Mortgage'!E39))</f>
        <v>0</v>
      </c>
      <c r="Z39">
        <f>--(SUM($Y$28:Y38)&lt;1)*AA39</f>
        <v>1</v>
      </c>
      <c r="AA39">
        <f t="shared" si="18"/>
        <v>1</v>
      </c>
      <c r="AB39" s="20"/>
      <c r="AC39">
        <f t="shared" si="19"/>
        <v>11</v>
      </c>
      <c r="AD39">
        <f t="shared" si="20"/>
        <v>2026</v>
      </c>
      <c r="AE39" s="12">
        <f t="shared" si="21"/>
        <v>46174</v>
      </c>
      <c r="AG39" s="19">
        <f t="shared" si="22"/>
        <v>3415.8460235069924</v>
      </c>
      <c r="AH39" s="19">
        <f t="shared" si="23"/>
        <v>256.18845176302443</v>
      </c>
      <c r="AI39" s="19">
        <f t="shared" si="24"/>
        <v>0</v>
      </c>
      <c r="AK39" s="19">
        <f t="shared" si="25"/>
        <v>0</v>
      </c>
      <c r="AL39" s="19">
        <f ca="1">(IF(MOD(AC39,($AE$15*12)),0,$AG39-IFERROR(SUM(OFFSET(AL38,,,-$AE$15*12)),0))-SUM($AL$28:AL38)*(Z40=0))*(Z39=1)</f>
        <v>0</v>
      </c>
      <c r="AM39" s="19">
        <f t="shared" si="26"/>
        <v>0</v>
      </c>
      <c r="AN39" s="19">
        <f t="shared" si="27"/>
        <v>0</v>
      </c>
      <c r="AP39" s="19">
        <f t="shared" ca="1" si="1"/>
        <v>-3672.0344752700166</v>
      </c>
      <c r="AQ39" s="18">
        <f t="shared" si="2"/>
        <v>0.96185698166485123</v>
      </c>
    </row>
    <row r="40" spans="3:43" x14ac:dyDescent="0.25">
      <c r="C40">
        <f t="shared" si="3"/>
        <v>12</v>
      </c>
      <c r="D40">
        <f t="shared" si="4"/>
        <v>1</v>
      </c>
      <c r="E40" s="12">
        <f t="shared" si="5"/>
        <v>46204</v>
      </c>
      <c r="F40" s="12"/>
      <c r="G40" s="15">
        <f t="shared" si="6"/>
        <v>367.01688871943401</v>
      </c>
      <c r="H40" s="15">
        <f t="shared" si="7"/>
        <v>2427.2535910331353</v>
      </c>
      <c r="I40" s="15"/>
      <c r="J40" s="16">
        <f t="shared" si="8"/>
        <v>656.25</v>
      </c>
      <c r="K40" s="16">
        <f t="shared" si="9"/>
        <v>328.125</v>
      </c>
      <c r="L40">
        <f t="shared" si="10"/>
        <v>535.50000000000034</v>
      </c>
      <c r="M40">
        <f t="shared" si="11"/>
        <v>1338.7500000000009</v>
      </c>
      <c r="N40" s="16">
        <f t="shared" si="12"/>
        <v>520</v>
      </c>
      <c r="O40" s="16"/>
      <c r="P40" s="17">
        <f t="shared" si="13"/>
        <v>-6172.8954797525703</v>
      </c>
      <c r="Q40">
        <f>Q39/(1+Assumptions!$E$8/12)</f>
        <v>0.95846242723506025</v>
      </c>
      <c r="S40" s="17">
        <f t="shared" si="14"/>
        <v>535500.00000000035</v>
      </c>
      <c r="T40" s="17">
        <f>T39*(1+$K$24)*Z40</f>
        <v>535500.00000000035</v>
      </c>
      <c r="U40" s="17">
        <f t="shared" si="15"/>
        <v>416100.61560568033</v>
      </c>
      <c r="V40" s="17">
        <f t="shared" si="16"/>
        <v>415733.59871696087</v>
      </c>
      <c r="W40" s="17">
        <f t="shared" si="17"/>
        <v>119766.40128303948</v>
      </c>
      <c r="Y40">
        <f>(MONTH(E40)=MONTH(Assumptions!$E$6))*(YEAR(Assumptions!$E$6)=YEAR('Rent v Mortgage'!E40))</f>
        <v>0</v>
      </c>
      <c r="Z40">
        <f>--(SUM($Y$28:Y39)&lt;1)*AA40</f>
        <v>1</v>
      </c>
      <c r="AA40">
        <f t="shared" si="18"/>
        <v>1</v>
      </c>
      <c r="AB40" s="20"/>
      <c r="AC40">
        <f t="shared" si="19"/>
        <v>12</v>
      </c>
      <c r="AD40">
        <f t="shared" si="20"/>
        <v>2026</v>
      </c>
      <c r="AE40" s="12">
        <f t="shared" si="21"/>
        <v>46204</v>
      </c>
      <c r="AG40" s="19">
        <f t="shared" si="22"/>
        <v>3552.4798644472721</v>
      </c>
      <c r="AH40" s="19">
        <f t="shared" si="23"/>
        <v>256.18845176302443</v>
      </c>
      <c r="AI40" s="19">
        <f t="shared" si="24"/>
        <v>225</v>
      </c>
      <c r="AK40" s="19">
        <f t="shared" si="25"/>
        <v>0</v>
      </c>
      <c r="AL40" s="19">
        <f ca="1">(IF(MOD(AC40,($AE$15*12)),0,$AG40-IFERROR(SUM(OFFSET(AL39,,,-$AE$15*12)),0))-SUM($AL$28:AL39)*(Z41=0))*(Z40=1)</f>
        <v>0</v>
      </c>
      <c r="AM40" s="19">
        <f t="shared" si="26"/>
        <v>0</v>
      </c>
      <c r="AN40" s="19">
        <f t="shared" si="27"/>
        <v>0</v>
      </c>
      <c r="AP40" s="19">
        <f t="shared" ca="1" si="1"/>
        <v>-4033.6683162102963</v>
      </c>
      <c r="AQ40" s="18">
        <f t="shared" si="2"/>
        <v>0.95846242723506025</v>
      </c>
    </row>
    <row r="41" spans="3:43" x14ac:dyDescent="0.25">
      <c r="C41">
        <f t="shared" si="3"/>
        <v>13</v>
      </c>
      <c r="D41">
        <f t="shared" si="4"/>
        <v>1</v>
      </c>
      <c r="E41" s="12">
        <f t="shared" si="5"/>
        <v>46235</v>
      </c>
      <c r="F41" s="12"/>
      <c r="G41" s="15">
        <f t="shared" si="6"/>
        <v>369.15782057029742</v>
      </c>
      <c r="H41" s="15">
        <f t="shared" si="7"/>
        <v>2425.1126591822722</v>
      </c>
      <c r="I41" s="15"/>
      <c r="J41" s="16">
        <f t="shared" si="8"/>
        <v>656.25</v>
      </c>
      <c r="K41" s="16">
        <f t="shared" si="9"/>
        <v>328.125</v>
      </c>
      <c r="L41">
        <f t="shared" si="10"/>
        <v>0</v>
      </c>
      <c r="M41">
        <f t="shared" si="11"/>
        <v>0</v>
      </c>
      <c r="N41" s="16">
        <f t="shared" si="12"/>
        <v>520</v>
      </c>
      <c r="O41" s="16"/>
      <c r="P41" s="17">
        <f t="shared" si="13"/>
        <v>-4298.6454797525694</v>
      </c>
      <c r="Q41">
        <f>Q40/(1+Assumptions!$E$8/12)</f>
        <v>0.95507985275654739</v>
      </c>
      <c r="S41" s="17">
        <f t="shared" si="14"/>
        <v>535500.00000000035</v>
      </c>
      <c r="T41" s="17">
        <f>T40*(1+$K$24)*Z41</f>
        <v>536384.42178717861</v>
      </c>
      <c r="U41" s="17">
        <f t="shared" si="15"/>
        <v>415733.59871696087</v>
      </c>
      <c r="V41" s="17">
        <f t="shared" si="16"/>
        <v>415364.44089639059</v>
      </c>
      <c r="W41" s="17">
        <f t="shared" si="17"/>
        <v>121019.98089078802</v>
      </c>
      <c r="Y41">
        <f>(MONTH(E41)=MONTH(Assumptions!$E$6))*(YEAR(Assumptions!$E$6)=YEAR('Rent v Mortgage'!E41))</f>
        <v>0</v>
      </c>
      <c r="Z41">
        <f>--(SUM($Y$28:Y40)&lt;1)*AA41</f>
        <v>1</v>
      </c>
      <c r="AA41">
        <f t="shared" si="18"/>
        <v>1</v>
      </c>
      <c r="AB41" s="20"/>
      <c r="AC41">
        <f t="shared" si="19"/>
        <v>13</v>
      </c>
      <c r="AD41">
        <f t="shared" si="20"/>
        <v>2026</v>
      </c>
      <c r="AE41" s="12">
        <f t="shared" si="21"/>
        <v>46235</v>
      </c>
      <c r="AG41" s="19">
        <f t="shared" si="22"/>
        <v>3552.4798644472721</v>
      </c>
      <c r="AH41" s="19">
        <f t="shared" si="23"/>
        <v>266.43598983354542</v>
      </c>
      <c r="AI41" s="19">
        <f t="shared" si="24"/>
        <v>0</v>
      </c>
      <c r="AK41" s="19">
        <f t="shared" si="25"/>
        <v>0</v>
      </c>
      <c r="AL41" s="19">
        <f ca="1">(IF(MOD(AC41,($AE$15*12)),0,$AG41-IFERROR(SUM(OFFSET(AL40,,,-$AE$15*12)),0))-SUM($AL$28:AL40)*(Z42=0))*(Z41=1)</f>
        <v>0</v>
      </c>
      <c r="AM41" s="19">
        <f t="shared" si="26"/>
        <v>0</v>
      </c>
      <c r="AN41" s="19">
        <f t="shared" si="27"/>
        <v>0</v>
      </c>
      <c r="AP41" s="19">
        <f t="shared" ca="1" si="1"/>
        <v>-3818.9158542808177</v>
      </c>
      <c r="AQ41" s="18">
        <f t="shared" si="2"/>
        <v>0.95507985275654739</v>
      </c>
    </row>
    <row r="42" spans="3:43" x14ac:dyDescent="0.25">
      <c r="C42">
        <f t="shared" si="3"/>
        <v>14</v>
      </c>
      <c r="D42">
        <f t="shared" si="4"/>
        <v>1</v>
      </c>
      <c r="E42" s="12">
        <f t="shared" si="5"/>
        <v>46266</v>
      </c>
      <c r="F42" s="12"/>
      <c r="G42" s="15">
        <f t="shared" si="6"/>
        <v>371.31124119029079</v>
      </c>
      <c r="H42" s="15">
        <f t="shared" si="7"/>
        <v>2422.9592385622786</v>
      </c>
      <c r="I42" s="15"/>
      <c r="J42" s="16">
        <f t="shared" si="8"/>
        <v>656.25</v>
      </c>
      <c r="K42" s="16">
        <f t="shared" si="9"/>
        <v>328.125</v>
      </c>
      <c r="L42">
        <f t="shared" si="10"/>
        <v>0</v>
      </c>
      <c r="M42">
        <f t="shared" si="11"/>
        <v>0</v>
      </c>
      <c r="N42" s="16">
        <f t="shared" si="12"/>
        <v>520</v>
      </c>
      <c r="O42" s="16"/>
      <c r="P42" s="17">
        <f t="shared" si="13"/>
        <v>-4298.6454797525694</v>
      </c>
      <c r="Q42">
        <f>Q41/(1+Assumptions!$E$8/12)</f>
        <v>0.95170921595005753</v>
      </c>
      <c r="S42" s="17">
        <f t="shared" si="14"/>
        <v>535500.00000000035</v>
      </c>
      <c r="T42" s="17">
        <f>T41*(1+$K$24)*Z42</f>
        <v>537270.30426884361</v>
      </c>
      <c r="U42" s="17">
        <f t="shared" si="15"/>
        <v>415364.44089639059</v>
      </c>
      <c r="V42" s="17">
        <f t="shared" si="16"/>
        <v>414993.12965520029</v>
      </c>
      <c r="W42" s="17">
        <f t="shared" si="17"/>
        <v>122277.17461364332</v>
      </c>
      <c r="Y42">
        <f>(MONTH(E42)=MONTH(Assumptions!$E$6))*(YEAR(Assumptions!$E$6)=YEAR('Rent v Mortgage'!E42))</f>
        <v>0</v>
      </c>
      <c r="Z42">
        <f>--(SUM($Y$28:Y41)&lt;1)*AA42</f>
        <v>1</v>
      </c>
      <c r="AA42">
        <f t="shared" si="18"/>
        <v>1</v>
      </c>
      <c r="AB42" s="20"/>
      <c r="AC42">
        <f t="shared" si="19"/>
        <v>14</v>
      </c>
      <c r="AD42">
        <f t="shared" si="20"/>
        <v>2026</v>
      </c>
      <c r="AE42" s="12">
        <f t="shared" si="21"/>
        <v>46266</v>
      </c>
      <c r="AG42" s="19">
        <f t="shared" si="22"/>
        <v>3552.4798644472721</v>
      </c>
      <c r="AH42" s="19">
        <f t="shared" si="23"/>
        <v>266.43598983354542</v>
      </c>
      <c r="AI42" s="19">
        <f t="shared" si="24"/>
        <v>0</v>
      </c>
      <c r="AK42" s="19">
        <f t="shared" si="25"/>
        <v>0</v>
      </c>
      <c r="AL42" s="19">
        <f ca="1">(IF(MOD(AC42,($AE$15*12)),0,$AG42-IFERROR(SUM(OFFSET(AL41,,,-$AE$15*12)),0))-SUM($AL$28:AL41)*(Z43=0))*(Z42=1)</f>
        <v>0</v>
      </c>
      <c r="AM42" s="19">
        <f t="shared" si="26"/>
        <v>0</v>
      </c>
      <c r="AN42" s="19">
        <f t="shared" si="27"/>
        <v>0</v>
      </c>
      <c r="AP42" s="19">
        <f t="shared" ca="1" si="1"/>
        <v>-3818.9158542808177</v>
      </c>
      <c r="AQ42" s="18">
        <f t="shared" si="2"/>
        <v>0.95170921595005753</v>
      </c>
    </row>
    <row r="43" spans="3:43" x14ac:dyDescent="0.25">
      <c r="C43">
        <f t="shared" si="3"/>
        <v>15</v>
      </c>
      <c r="D43">
        <f t="shared" si="4"/>
        <v>1</v>
      </c>
      <c r="E43" s="12">
        <f t="shared" si="5"/>
        <v>46296</v>
      </c>
      <c r="F43" s="12"/>
      <c r="G43" s="15">
        <f t="shared" si="6"/>
        <v>373.47722343056751</v>
      </c>
      <c r="H43" s="15">
        <f t="shared" si="7"/>
        <v>2420.793256322002</v>
      </c>
      <c r="I43" s="15"/>
      <c r="J43" s="16">
        <f t="shared" si="8"/>
        <v>656.25</v>
      </c>
      <c r="K43" s="16">
        <f t="shared" si="9"/>
        <v>328.125</v>
      </c>
      <c r="L43">
        <f t="shared" si="10"/>
        <v>0</v>
      </c>
      <c r="M43">
        <f t="shared" si="11"/>
        <v>1338.7500000000009</v>
      </c>
      <c r="N43" s="16">
        <f t="shared" si="12"/>
        <v>520</v>
      </c>
      <c r="O43" s="16"/>
      <c r="P43" s="17">
        <f t="shared" si="13"/>
        <v>-5637.3954797525703</v>
      </c>
      <c r="Q43">
        <f>Q42/(1+Assumptions!$E$8/12)</f>
        <v>0.94835047468554612</v>
      </c>
      <c r="S43" s="17">
        <f t="shared" si="14"/>
        <v>535500.00000000035</v>
      </c>
      <c r="T43" s="17">
        <f>T42*(1+$K$24)*Z43</f>
        <v>538157.64985745098</v>
      </c>
      <c r="U43" s="17">
        <f t="shared" si="15"/>
        <v>414993.12965520029</v>
      </c>
      <c r="V43" s="17">
        <f t="shared" si="16"/>
        <v>414619.6524317697</v>
      </c>
      <c r="W43" s="17">
        <f t="shared" si="17"/>
        <v>123537.99742568127</v>
      </c>
      <c r="Y43">
        <f>(MONTH(E43)=MONTH(Assumptions!$E$6))*(YEAR(Assumptions!$E$6)=YEAR('Rent v Mortgage'!E43))</f>
        <v>0</v>
      </c>
      <c r="Z43">
        <f>--(SUM($Y$28:Y42)&lt;1)*AA43</f>
        <v>1</v>
      </c>
      <c r="AA43">
        <f t="shared" si="18"/>
        <v>1</v>
      </c>
      <c r="AB43" s="20"/>
      <c r="AC43">
        <f t="shared" si="19"/>
        <v>15</v>
      </c>
      <c r="AD43">
        <f t="shared" si="20"/>
        <v>2026</v>
      </c>
      <c r="AE43" s="12">
        <f t="shared" si="21"/>
        <v>46296</v>
      </c>
      <c r="AG43" s="19">
        <f t="shared" si="22"/>
        <v>3552.4798644472721</v>
      </c>
      <c r="AH43" s="19">
        <f t="shared" si="23"/>
        <v>266.43598983354542</v>
      </c>
      <c r="AI43" s="19">
        <f t="shared" si="24"/>
        <v>0</v>
      </c>
      <c r="AK43" s="19">
        <f t="shared" si="25"/>
        <v>0</v>
      </c>
      <c r="AL43" s="19">
        <f ca="1">(IF(MOD(AC43,($AE$15*12)),0,$AG43-IFERROR(SUM(OFFSET(AL42,,,-$AE$15*12)),0))-SUM($AL$28:AL42)*(Z44=0))*(Z43=1)</f>
        <v>0</v>
      </c>
      <c r="AM43" s="19">
        <f t="shared" si="26"/>
        <v>0</v>
      </c>
      <c r="AN43" s="19">
        <f t="shared" si="27"/>
        <v>0</v>
      </c>
      <c r="AP43" s="19">
        <f t="shared" ca="1" si="1"/>
        <v>-3818.9158542808177</v>
      </c>
      <c r="AQ43" s="18">
        <f t="shared" si="2"/>
        <v>0.94835047468554612</v>
      </c>
    </row>
    <row r="44" spans="3:43" x14ac:dyDescent="0.25">
      <c r="C44">
        <f t="shared" si="3"/>
        <v>16</v>
      </c>
      <c r="D44">
        <f t="shared" si="4"/>
        <v>1</v>
      </c>
      <c r="E44" s="12">
        <f t="shared" si="5"/>
        <v>46327</v>
      </c>
      <c r="F44" s="12"/>
      <c r="G44" s="15">
        <f t="shared" si="6"/>
        <v>375.65584056724595</v>
      </c>
      <c r="H44" s="15">
        <f t="shared" si="7"/>
        <v>2418.6146391853235</v>
      </c>
      <c r="I44" s="15"/>
      <c r="J44" s="16">
        <f t="shared" si="8"/>
        <v>656.25</v>
      </c>
      <c r="K44" s="16">
        <f t="shared" si="9"/>
        <v>328.125</v>
      </c>
      <c r="L44">
        <f t="shared" si="10"/>
        <v>0</v>
      </c>
      <c r="M44">
        <f t="shared" si="11"/>
        <v>0</v>
      </c>
      <c r="N44" s="16">
        <f t="shared" si="12"/>
        <v>520</v>
      </c>
      <c r="O44" s="16"/>
      <c r="P44" s="17">
        <f t="shared" si="13"/>
        <v>-4298.6454797525694</v>
      </c>
      <c r="Q44">
        <f>Q43/(1+Assumptions!$E$8/12)</f>
        <v>0.94500358698165265</v>
      </c>
      <c r="S44" s="17">
        <f t="shared" si="14"/>
        <v>535500.00000000035</v>
      </c>
      <c r="T44" s="17">
        <f>T43*(1+$K$24)*Z44</f>
        <v>539046.46096944087</v>
      </c>
      <c r="U44" s="17">
        <f t="shared" si="15"/>
        <v>414619.6524317697</v>
      </c>
      <c r="V44" s="17">
        <f t="shared" si="16"/>
        <v>414243.99659120245</v>
      </c>
      <c r="W44" s="17">
        <f t="shared" si="17"/>
        <v>124802.46437823842</v>
      </c>
      <c r="Y44">
        <f>(MONTH(E44)=MONTH(Assumptions!$E$6))*(YEAR(Assumptions!$E$6)=YEAR('Rent v Mortgage'!E44))</f>
        <v>0</v>
      </c>
      <c r="Z44">
        <f>--(SUM($Y$28:Y43)&lt;1)*AA44</f>
        <v>1</v>
      </c>
      <c r="AA44">
        <f t="shared" si="18"/>
        <v>1</v>
      </c>
      <c r="AB44" s="20"/>
      <c r="AC44">
        <f t="shared" si="19"/>
        <v>16</v>
      </c>
      <c r="AD44">
        <f t="shared" si="20"/>
        <v>2026</v>
      </c>
      <c r="AE44" s="12">
        <f t="shared" si="21"/>
        <v>46327</v>
      </c>
      <c r="AG44" s="19">
        <f t="shared" si="22"/>
        <v>3552.4798644472721</v>
      </c>
      <c r="AH44" s="19">
        <f t="shared" si="23"/>
        <v>266.43598983354542</v>
      </c>
      <c r="AI44" s="19">
        <f t="shared" si="24"/>
        <v>0</v>
      </c>
      <c r="AK44" s="19">
        <f t="shared" si="25"/>
        <v>0</v>
      </c>
      <c r="AL44" s="19">
        <f ca="1">(IF(MOD(AC44,($AE$15*12)),0,$AG44-IFERROR(SUM(OFFSET(AL43,,,-$AE$15*12)),0))-SUM($AL$28:AL43)*(Z45=0))*(Z44=1)</f>
        <v>0</v>
      </c>
      <c r="AM44" s="19">
        <f t="shared" si="26"/>
        <v>0</v>
      </c>
      <c r="AN44" s="19">
        <f t="shared" si="27"/>
        <v>0</v>
      </c>
      <c r="AP44" s="19">
        <f t="shared" ca="1" si="1"/>
        <v>-3818.9158542808177</v>
      </c>
      <c r="AQ44" s="18">
        <f t="shared" si="2"/>
        <v>0.94500358698165265</v>
      </c>
    </row>
    <row r="45" spans="3:43" x14ac:dyDescent="0.25">
      <c r="C45">
        <f t="shared" si="3"/>
        <v>17</v>
      </c>
      <c r="D45">
        <f t="shared" si="4"/>
        <v>1</v>
      </c>
      <c r="E45" s="12">
        <f t="shared" si="5"/>
        <v>46357</v>
      </c>
      <c r="F45" s="12"/>
      <c r="G45" s="15">
        <f t="shared" si="6"/>
        <v>377.84716630388817</v>
      </c>
      <c r="H45" s="15">
        <f t="shared" si="7"/>
        <v>2416.4233134486813</v>
      </c>
      <c r="I45" s="15"/>
      <c r="J45" s="16">
        <f t="shared" si="8"/>
        <v>656.25</v>
      </c>
      <c r="K45" s="16">
        <f t="shared" si="9"/>
        <v>328.125</v>
      </c>
      <c r="L45">
        <f t="shared" si="10"/>
        <v>0</v>
      </c>
      <c r="M45">
        <f t="shared" si="11"/>
        <v>0</v>
      </c>
      <c r="N45" s="16">
        <f t="shared" si="12"/>
        <v>520</v>
      </c>
      <c r="O45" s="16"/>
      <c r="P45" s="17">
        <f t="shared" si="13"/>
        <v>-4298.6454797525694</v>
      </c>
      <c r="Q45">
        <f>Q44/(1+Assumptions!$E$8/12)</f>
        <v>0.9416685110051759</v>
      </c>
      <c r="S45" s="17">
        <f t="shared" si="14"/>
        <v>535500.00000000035</v>
      </c>
      <c r="T45" s="17">
        <f>T44*(1+$K$24)*Z45</f>
        <v>539936.7400252443</v>
      </c>
      <c r="U45" s="17">
        <f t="shared" si="15"/>
        <v>414243.99659120245</v>
      </c>
      <c r="V45" s="17">
        <f t="shared" si="16"/>
        <v>413866.14942489855</v>
      </c>
      <c r="W45" s="17">
        <f t="shared" si="17"/>
        <v>126070.59060034575</v>
      </c>
      <c r="Y45">
        <f>(MONTH(E45)=MONTH(Assumptions!$E$6))*(YEAR(Assumptions!$E$6)=YEAR('Rent v Mortgage'!E45))</f>
        <v>0</v>
      </c>
      <c r="Z45">
        <f>--(SUM($Y$28:Y44)&lt;1)*AA45</f>
        <v>1</v>
      </c>
      <c r="AA45">
        <f t="shared" si="18"/>
        <v>1</v>
      </c>
      <c r="AB45" s="20"/>
      <c r="AC45">
        <f t="shared" si="19"/>
        <v>17</v>
      </c>
      <c r="AD45">
        <f t="shared" si="20"/>
        <v>2026</v>
      </c>
      <c r="AE45" s="12">
        <f t="shared" si="21"/>
        <v>46357</v>
      </c>
      <c r="AG45" s="19">
        <f t="shared" si="22"/>
        <v>3552.4798644472721</v>
      </c>
      <c r="AH45" s="19">
        <f t="shared" si="23"/>
        <v>266.43598983354542</v>
      </c>
      <c r="AI45" s="19">
        <f t="shared" si="24"/>
        <v>0</v>
      </c>
      <c r="AK45" s="19">
        <f t="shared" si="25"/>
        <v>0</v>
      </c>
      <c r="AL45" s="19">
        <f ca="1">(IF(MOD(AC45,($AE$15*12)),0,$AG45-IFERROR(SUM(OFFSET(AL44,,,-$AE$15*12)),0))-SUM($AL$28:AL44)*(Z46=0))*(Z45=1)</f>
        <v>0</v>
      </c>
      <c r="AM45" s="19">
        <f t="shared" si="26"/>
        <v>0</v>
      </c>
      <c r="AN45" s="19">
        <f t="shared" si="27"/>
        <v>0</v>
      </c>
      <c r="AP45" s="19">
        <f t="shared" ca="1" si="1"/>
        <v>-3818.9158542808177</v>
      </c>
      <c r="AQ45" s="18">
        <f t="shared" si="2"/>
        <v>0.9416685110051759</v>
      </c>
    </row>
    <row r="46" spans="3:43" x14ac:dyDescent="0.25">
      <c r="C46">
        <f t="shared" si="3"/>
        <v>18</v>
      </c>
      <c r="D46">
        <f t="shared" si="4"/>
        <v>1</v>
      </c>
      <c r="E46" s="12">
        <f t="shared" si="5"/>
        <v>46388</v>
      </c>
      <c r="F46" s="12"/>
      <c r="G46" s="15">
        <f t="shared" si="6"/>
        <v>380.05127477399418</v>
      </c>
      <c r="H46" s="15">
        <f t="shared" si="7"/>
        <v>2414.2192049785754</v>
      </c>
      <c r="I46" s="15"/>
      <c r="J46" s="16">
        <f t="shared" si="8"/>
        <v>656.25</v>
      </c>
      <c r="K46" s="16">
        <f t="shared" si="9"/>
        <v>328.125</v>
      </c>
      <c r="L46">
        <f t="shared" si="10"/>
        <v>0</v>
      </c>
      <c r="M46">
        <f t="shared" si="11"/>
        <v>1338.7500000000009</v>
      </c>
      <c r="N46" s="16">
        <f t="shared" si="12"/>
        <v>520</v>
      </c>
      <c r="O46" s="16"/>
      <c r="P46" s="17">
        <f t="shared" si="13"/>
        <v>-5637.3954797525703</v>
      </c>
      <c r="Q46">
        <f>Q45/(1+Assumptions!$E$8/12)</f>
        <v>0.93834520507055097</v>
      </c>
      <c r="S46" s="17">
        <f t="shared" si="14"/>
        <v>535500.00000000035</v>
      </c>
      <c r="T46" s="17">
        <f>T45*(1+$K$24)*Z46</f>
        <v>540828.48944928974</v>
      </c>
      <c r="U46" s="17">
        <f t="shared" si="15"/>
        <v>413866.14942489855</v>
      </c>
      <c r="V46" s="17">
        <f t="shared" si="16"/>
        <v>413486.09815012454</v>
      </c>
      <c r="W46" s="17">
        <f t="shared" si="17"/>
        <v>127342.3912991652</v>
      </c>
      <c r="Y46">
        <f>(MONTH(E46)=MONTH(Assumptions!$E$6))*(YEAR(Assumptions!$E$6)=YEAR('Rent v Mortgage'!E46))</f>
        <v>0</v>
      </c>
      <c r="Z46">
        <f>--(SUM($Y$28:Y45)&lt;1)*AA46</f>
        <v>1</v>
      </c>
      <c r="AA46">
        <f t="shared" si="18"/>
        <v>1</v>
      </c>
      <c r="AB46" s="20"/>
      <c r="AC46">
        <f t="shared" si="19"/>
        <v>18</v>
      </c>
      <c r="AD46">
        <f t="shared" si="20"/>
        <v>2027</v>
      </c>
      <c r="AE46" s="12">
        <f t="shared" si="21"/>
        <v>46388</v>
      </c>
      <c r="AG46" s="19">
        <f t="shared" si="22"/>
        <v>3552.4798644472721</v>
      </c>
      <c r="AH46" s="19">
        <f t="shared" si="23"/>
        <v>266.43598983354542</v>
      </c>
      <c r="AI46" s="19">
        <f t="shared" si="24"/>
        <v>0</v>
      </c>
      <c r="AK46" s="19">
        <f t="shared" si="25"/>
        <v>0</v>
      </c>
      <c r="AL46" s="19">
        <f ca="1">(IF(MOD(AC46,($AE$15*12)),0,$AG46-IFERROR(SUM(OFFSET(AL45,,,-$AE$15*12)),0))-SUM($AL$28:AL45)*(Z47=0))*(Z46=1)</f>
        <v>0</v>
      </c>
      <c r="AM46" s="19">
        <f t="shared" si="26"/>
        <v>0</v>
      </c>
      <c r="AN46" s="19">
        <f t="shared" si="27"/>
        <v>0</v>
      </c>
      <c r="AP46" s="19">
        <f t="shared" ca="1" si="1"/>
        <v>-3818.9158542808177</v>
      </c>
      <c r="AQ46" s="18">
        <f t="shared" si="2"/>
        <v>0.93834520507055097</v>
      </c>
    </row>
    <row r="47" spans="3:43" x14ac:dyDescent="0.25">
      <c r="C47">
        <f t="shared" si="3"/>
        <v>19</v>
      </c>
      <c r="D47">
        <f t="shared" si="4"/>
        <v>1</v>
      </c>
      <c r="E47" s="12">
        <f t="shared" si="5"/>
        <v>46419</v>
      </c>
      <c r="F47" s="12"/>
      <c r="G47" s="15">
        <f t="shared" si="6"/>
        <v>382.26824054350908</v>
      </c>
      <c r="H47" s="15">
        <f t="shared" si="7"/>
        <v>2412.0022392090605</v>
      </c>
      <c r="I47" s="15"/>
      <c r="J47" s="16">
        <f t="shared" si="8"/>
        <v>656.25</v>
      </c>
      <c r="K47" s="16">
        <f t="shared" si="9"/>
        <v>328.125</v>
      </c>
      <c r="L47">
        <f t="shared" si="10"/>
        <v>0</v>
      </c>
      <c r="M47">
        <f t="shared" si="11"/>
        <v>0</v>
      </c>
      <c r="N47" s="16">
        <f t="shared" si="12"/>
        <v>520</v>
      </c>
      <c r="O47" s="16"/>
      <c r="P47" s="17">
        <f t="shared" si="13"/>
        <v>-4298.6454797525694</v>
      </c>
      <c r="Q47">
        <f>Q46/(1+Assumptions!$E$8/12)</f>
        <v>0.93503362763932829</v>
      </c>
      <c r="S47" s="17">
        <f t="shared" si="14"/>
        <v>535500.00000000035</v>
      </c>
      <c r="T47" s="17">
        <f>T46*(1+$K$24)*Z47</f>
        <v>541721.71167001</v>
      </c>
      <c r="U47" s="17">
        <f t="shared" si="15"/>
        <v>413486.09815012454</v>
      </c>
      <c r="V47" s="17">
        <f t="shared" si="16"/>
        <v>413103.82990958105</v>
      </c>
      <c r="W47" s="17">
        <f t="shared" si="17"/>
        <v>128617.88176042895</v>
      </c>
      <c r="Y47">
        <f>(MONTH(E47)=MONTH(Assumptions!$E$6))*(YEAR(Assumptions!$E$6)=YEAR('Rent v Mortgage'!E47))</f>
        <v>0</v>
      </c>
      <c r="Z47">
        <f>--(SUM($Y$28:Y46)&lt;1)*AA47</f>
        <v>1</v>
      </c>
      <c r="AA47">
        <f t="shared" si="18"/>
        <v>1</v>
      </c>
      <c r="AB47" s="20"/>
      <c r="AC47">
        <f t="shared" si="19"/>
        <v>19</v>
      </c>
      <c r="AD47">
        <f t="shared" si="20"/>
        <v>2027</v>
      </c>
      <c r="AE47" s="12">
        <f t="shared" si="21"/>
        <v>46419</v>
      </c>
      <c r="AG47" s="19">
        <f t="shared" si="22"/>
        <v>3552.4798644472721</v>
      </c>
      <c r="AH47" s="19">
        <f t="shared" si="23"/>
        <v>266.43598983354542</v>
      </c>
      <c r="AI47" s="19">
        <f t="shared" si="24"/>
        <v>0</v>
      </c>
      <c r="AK47" s="19">
        <f t="shared" si="25"/>
        <v>0</v>
      </c>
      <c r="AL47" s="19">
        <f ca="1">(IF(MOD(AC47,($AE$15*12)),0,$AG47-IFERROR(SUM(OFFSET(AL46,,,-$AE$15*12)),0))-SUM($AL$28:AL46)*(Z48=0))*(Z47=1)</f>
        <v>0</v>
      </c>
      <c r="AM47" s="19">
        <f t="shared" si="26"/>
        <v>0</v>
      </c>
      <c r="AN47" s="19">
        <f t="shared" si="27"/>
        <v>0</v>
      </c>
      <c r="AP47" s="19">
        <f t="shared" ca="1" si="1"/>
        <v>-3818.9158542808177</v>
      </c>
      <c r="AQ47" s="18">
        <f t="shared" si="2"/>
        <v>0.93503362763932829</v>
      </c>
    </row>
    <row r="48" spans="3:43" x14ac:dyDescent="0.25">
      <c r="C48">
        <f t="shared" si="3"/>
        <v>20</v>
      </c>
      <c r="D48">
        <f t="shared" si="4"/>
        <v>1</v>
      </c>
      <c r="E48" s="12">
        <f t="shared" si="5"/>
        <v>46447</v>
      </c>
      <c r="F48" s="12"/>
      <c r="G48" s="15">
        <f t="shared" si="6"/>
        <v>384.49813861334621</v>
      </c>
      <c r="H48" s="15">
        <f t="shared" si="7"/>
        <v>2409.772341139223</v>
      </c>
      <c r="I48" s="15"/>
      <c r="J48" s="16">
        <f t="shared" si="8"/>
        <v>656.25</v>
      </c>
      <c r="K48" s="16">
        <f t="shared" si="9"/>
        <v>328.125</v>
      </c>
      <c r="L48">
        <f t="shared" si="10"/>
        <v>0</v>
      </c>
      <c r="M48">
        <f t="shared" si="11"/>
        <v>0</v>
      </c>
      <c r="N48" s="16">
        <f t="shared" si="12"/>
        <v>520</v>
      </c>
      <c r="O48" s="16"/>
      <c r="P48" s="17">
        <f t="shared" si="13"/>
        <v>-4298.6454797525694</v>
      </c>
      <c r="Q48">
        <f>Q47/(1+Assumptions!$E$8/12)</f>
        <v>0.93173373731965436</v>
      </c>
      <c r="S48" s="17">
        <f t="shared" si="14"/>
        <v>535500.00000000035</v>
      </c>
      <c r="T48" s="17">
        <f>T47*(1+$K$24)*Z48</f>
        <v>542616.40911984839</v>
      </c>
      <c r="U48" s="17">
        <f t="shared" si="15"/>
        <v>413103.82990958105</v>
      </c>
      <c r="V48" s="17">
        <f t="shared" si="16"/>
        <v>412719.33177096769</v>
      </c>
      <c r="W48" s="17">
        <f t="shared" si="17"/>
        <v>129897.0773488807</v>
      </c>
      <c r="Y48">
        <f>(MONTH(E48)=MONTH(Assumptions!$E$6))*(YEAR(Assumptions!$E$6)=YEAR('Rent v Mortgage'!E48))</f>
        <v>0</v>
      </c>
      <c r="Z48">
        <f>--(SUM($Y$28:Y47)&lt;1)*AA48</f>
        <v>1</v>
      </c>
      <c r="AA48">
        <f t="shared" si="18"/>
        <v>1</v>
      </c>
      <c r="AB48" s="20"/>
      <c r="AC48">
        <f t="shared" si="19"/>
        <v>20</v>
      </c>
      <c r="AD48">
        <f t="shared" si="20"/>
        <v>2027</v>
      </c>
      <c r="AE48" s="12">
        <f t="shared" si="21"/>
        <v>46447</v>
      </c>
      <c r="AG48" s="19">
        <f t="shared" si="22"/>
        <v>3552.4798644472721</v>
      </c>
      <c r="AH48" s="19">
        <f t="shared" si="23"/>
        <v>266.43598983354542</v>
      </c>
      <c r="AI48" s="19">
        <f t="shared" si="24"/>
        <v>0</v>
      </c>
      <c r="AK48" s="19">
        <f t="shared" si="25"/>
        <v>0</v>
      </c>
      <c r="AL48" s="19">
        <f ca="1">(IF(MOD(AC48,($AE$15*12)),0,$AG48-IFERROR(SUM(OFFSET(AL47,,,-$AE$15*12)),0))-SUM($AL$28:AL47)*(Z49=0))*(Z48=1)</f>
        <v>0</v>
      </c>
      <c r="AM48" s="19">
        <f t="shared" si="26"/>
        <v>0</v>
      </c>
      <c r="AN48" s="19">
        <f t="shared" si="27"/>
        <v>0</v>
      </c>
      <c r="AP48" s="19">
        <f t="shared" ca="1" si="1"/>
        <v>-3818.9158542808177</v>
      </c>
      <c r="AQ48" s="18">
        <f t="shared" si="2"/>
        <v>0.93173373731965436</v>
      </c>
    </row>
    <row r="49" spans="3:43" x14ac:dyDescent="0.25">
      <c r="C49">
        <f t="shared" si="3"/>
        <v>21</v>
      </c>
      <c r="D49">
        <f t="shared" si="4"/>
        <v>1</v>
      </c>
      <c r="E49" s="12">
        <f t="shared" si="5"/>
        <v>46478</v>
      </c>
      <c r="F49" s="12"/>
      <c r="G49" s="15">
        <f t="shared" si="6"/>
        <v>386.74104442192407</v>
      </c>
      <c r="H49" s="15">
        <f t="shared" si="7"/>
        <v>2407.5294353306454</v>
      </c>
      <c r="I49" s="15"/>
      <c r="J49" s="16">
        <f t="shared" si="8"/>
        <v>656.25</v>
      </c>
      <c r="K49" s="16">
        <f t="shared" si="9"/>
        <v>328.125</v>
      </c>
      <c r="L49">
        <f t="shared" si="10"/>
        <v>0</v>
      </c>
      <c r="M49">
        <f t="shared" si="11"/>
        <v>1338.7500000000009</v>
      </c>
      <c r="N49" s="16">
        <f t="shared" si="12"/>
        <v>520</v>
      </c>
      <c r="O49" s="16"/>
      <c r="P49" s="17">
        <f t="shared" si="13"/>
        <v>-5637.3954797525703</v>
      </c>
      <c r="Q49">
        <f>Q48/(1+Assumptions!$E$8/12)</f>
        <v>0.92844549286575473</v>
      </c>
      <c r="S49" s="17">
        <f t="shared" si="14"/>
        <v>535500.00000000035</v>
      </c>
      <c r="T49" s="17">
        <f>T48*(1+$K$24)*Z49</f>
        <v>543512.58423526585</v>
      </c>
      <c r="U49" s="17">
        <f t="shared" si="15"/>
        <v>412719.33177096769</v>
      </c>
      <c r="V49" s="17">
        <f t="shared" si="16"/>
        <v>412332.59072654578</v>
      </c>
      <c r="W49" s="17">
        <f t="shared" si="17"/>
        <v>131179.99350872007</v>
      </c>
      <c r="Y49">
        <f>(MONTH(E49)=MONTH(Assumptions!$E$6))*(YEAR(Assumptions!$E$6)=YEAR('Rent v Mortgage'!E49))</f>
        <v>0</v>
      </c>
      <c r="Z49">
        <f>--(SUM($Y$28:Y48)&lt;1)*AA49</f>
        <v>1</v>
      </c>
      <c r="AA49">
        <f t="shared" si="18"/>
        <v>1</v>
      </c>
      <c r="AB49" s="20"/>
      <c r="AC49">
        <f t="shared" si="19"/>
        <v>21</v>
      </c>
      <c r="AD49">
        <f t="shared" si="20"/>
        <v>2027</v>
      </c>
      <c r="AE49" s="12">
        <f t="shared" si="21"/>
        <v>46478</v>
      </c>
      <c r="AG49" s="19">
        <f t="shared" si="22"/>
        <v>3552.4798644472721</v>
      </c>
      <c r="AH49" s="19">
        <f t="shared" si="23"/>
        <v>266.43598983354542</v>
      </c>
      <c r="AI49" s="19">
        <f t="shared" si="24"/>
        <v>0</v>
      </c>
      <c r="AK49" s="19">
        <f t="shared" si="25"/>
        <v>0</v>
      </c>
      <c r="AL49" s="19">
        <f ca="1">(IF(MOD(AC49,($AE$15*12)),0,$AG49-IFERROR(SUM(OFFSET(AL48,,,-$AE$15*12)),0))-SUM($AL$28:AL48)*(Z50=0))*(Z49=1)</f>
        <v>0</v>
      </c>
      <c r="AM49" s="19">
        <f t="shared" si="26"/>
        <v>0</v>
      </c>
      <c r="AN49" s="19">
        <f t="shared" si="27"/>
        <v>0</v>
      </c>
      <c r="AP49" s="19">
        <f t="shared" ca="1" si="1"/>
        <v>-3818.9158542808177</v>
      </c>
      <c r="AQ49" s="18">
        <f t="shared" si="2"/>
        <v>0.92844549286575473</v>
      </c>
    </row>
    <row r="50" spans="3:43" x14ac:dyDescent="0.25">
      <c r="C50">
        <f t="shared" si="3"/>
        <v>22</v>
      </c>
      <c r="D50">
        <f t="shared" si="4"/>
        <v>1</v>
      </c>
      <c r="E50" s="12">
        <f t="shared" si="5"/>
        <v>46508</v>
      </c>
      <c r="F50" s="12"/>
      <c r="G50" s="15">
        <f t="shared" si="6"/>
        <v>388.99703384771857</v>
      </c>
      <c r="H50" s="15">
        <f t="shared" si="7"/>
        <v>2405.2734459048506</v>
      </c>
      <c r="I50" s="15"/>
      <c r="J50" s="16">
        <f t="shared" si="8"/>
        <v>656.25</v>
      </c>
      <c r="K50" s="16">
        <f t="shared" si="9"/>
        <v>328.125</v>
      </c>
      <c r="L50">
        <f t="shared" si="10"/>
        <v>0</v>
      </c>
      <c r="M50">
        <f t="shared" si="11"/>
        <v>0</v>
      </c>
      <c r="N50" s="16">
        <f t="shared" si="12"/>
        <v>520</v>
      </c>
      <c r="O50" s="16"/>
      <c r="P50" s="17">
        <f t="shared" si="13"/>
        <v>-4298.6454797525694</v>
      </c>
      <c r="Q50">
        <f>Q49/(1+Assumptions!$E$8/12)</f>
        <v>0.92516885317741793</v>
      </c>
      <c r="S50" s="17">
        <f t="shared" si="14"/>
        <v>535500.00000000035</v>
      </c>
      <c r="T50" s="17">
        <f>T49*(1+$K$24)*Z50</f>
        <v>544410.23945674719</v>
      </c>
      <c r="U50" s="17">
        <f t="shared" si="15"/>
        <v>412332.59072654578</v>
      </c>
      <c r="V50" s="17">
        <f t="shared" si="16"/>
        <v>411943.59369269805</v>
      </c>
      <c r="W50" s="17">
        <f t="shared" si="17"/>
        <v>132466.64576404914</v>
      </c>
      <c r="Y50">
        <f>(MONTH(E50)=MONTH(Assumptions!$E$6))*(YEAR(Assumptions!$E$6)=YEAR('Rent v Mortgage'!E50))</f>
        <v>0</v>
      </c>
      <c r="Z50">
        <f>--(SUM($Y$28:Y49)&lt;1)*AA50</f>
        <v>1</v>
      </c>
      <c r="AA50">
        <f t="shared" si="18"/>
        <v>1</v>
      </c>
      <c r="AB50" s="20"/>
      <c r="AC50">
        <f t="shared" si="19"/>
        <v>22</v>
      </c>
      <c r="AD50">
        <f t="shared" si="20"/>
        <v>2027</v>
      </c>
      <c r="AE50" s="12">
        <f t="shared" si="21"/>
        <v>46508</v>
      </c>
      <c r="AG50" s="19">
        <f t="shared" si="22"/>
        <v>3552.4798644472721</v>
      </c>
      <c r="AH50" s="19">
        <f t="shared" si="23"/>
        <v>266.43598983354542</v>
      </c>
      <c r="AI50" s="19">
        <f t="shared" si="24"/>
        <v>0</v>
      </c>
      <c r="AK50" s="19">
        <f t="shared" si="25"/>
        <v>0</v>
      </c>
      <c r="AL50" s="19">
        <f ca="1">(IF(MOD(AC50,($AE$15*12)),0,$AG50-IFERROR(SUM(OFFSET(AL49,,,-$AE$15*12)),0))-SUM($AL$28:AL49)*(Z51=0))*(Z50=1)</f>
        <v>0</v>
      </c>
      <c r="AM50" s="19">
        <f t="shared" si="26"/>
        <v>0</v>
      </c>
      <c r="AN50" s="19">
        <f t="shared" si="27"/>
        <v>0</v>
      </c>
      <c r="AP50" s="19">
        <f t="shared" ca="1" si="1"/>
        <v>-3818.9158542808177</v>
      </c>
      <c r="AQ50" s="18">
        <f t="shared" si="2"/>
        <v>0.92516885317741793</v>
      </c>
    </row>
    <row r="51" spans="3:43" x14ac:dyDescent="0.25">
      <c r="C51">
        <f t="shared" si="3"/>
        <v>23</v>
      </c>
      <c r="D51">
        <f t="shared" si="4"/>
        <v>1</v>
      </c>
      <c r="E51" s="12">
        <f t="shared" si="5"/>
        <v>46539</v>
      </c>
      <c r="F51" s="12"/>
      <c r="G51" s="15">
        <f t="shared" si="6"/>
        <v>391.26618321183031</v>
      </c>
      <c r="H51" s="15">
        <f t="shared" si="7"/>
        <v>2403.0042965407392</v>
      </c>
      <c r="I51" s="15"/>
      <c r="J51" s="16">
        <f t="shared" si="8"/>
        <v>656.25</v>
      </c>
      <c r="K51" s="16">
        <f t="shared" si="9"/>
        <v>328.125</v>
      </c>
      <c r="L51">
        <f t="shared" si="10"/>
        <v>0</v>
      </c>
      <c r="M51">
        <f t="shared" si="11"/>
        <v>0</v>
      </c>
      <c r="N51" s="16">
        <f t="shared" si="12"/>
        <v>520</v>
      </c>
      <c r="O51" s="16"/>
      <c r="P51" s="17">
        <f t="shared" si="13"/>
        <v>-4298.6454797525694</v>
      </c>
      <c r="Q51">
        <f>Q50/(1+Assumptions!$E$8/12)</f>
        <v>0.92190377729948214</v>
      </c>
      <c r="S51" s="17">
        <f t="shared" si="14"/>
        <v>535500.00000000035</v>
      </c>
      <c r="T51" s="17">
        <f>T50*(1+$K$24)*Z51</f>
        <v>545309.37722880789</v>
      </c>
      <c r="U51" s="17">
        <f t="shared" si="15"/>
        <v>411943.59369269805</v>
      </c>
      <c r="V51" s="17">
        <f t="shared" si="16"/>
        <v>411552.32750948623</v>
      </c>
      <c r="W51" s="17">
        <f t="shared" si="17"/>
        <v>133757.04971932166</v>
      </c>
      <c r="Y51">
        <f>(MONTH(E51)=MONTH(Assumptions!$E$6))*(YEAR(Assumptions!$E$6)=YEAR('Rent v Mortgage'!E51))</f>
        <v>0</v>
      </c>
      <c r="Z51">
        <f>--(SUM($Y$28:Y50)&lt;1)*AA51</f>
        <v>1</v>
      </c>
      <c r="AA51">
        <f t="shared" si="18"/>
        <v>1</v>
      </c>
      <c r="AB51" s="20"/>
      <c r="AC51">
        <f t="shared" si="19"/>
        <v>23</v>
      </c>
      <c r="AD51">
        <f t="shared" si="20"/>
        <v>2027</v>
      </c>
      <c r="AE51" s="12">
        <f t="shared" si="21"/>
        <v>46539</v>
      </c>
      <c r="AG51" s="19">
        <f t="shared" si="22"/>
        <v>3552.4798644472721</v>
      </c>
      <c r="AH51" s="19">
        <f t="shared" si="23"/>
        <v>266.43598983354542</v>
      </c>
      <c r="AI51" s="19">
        <f t="shared" si="24"/>
        <v>0</v>
      </c>
      <c r="AK51" s="19">
        <f t="shared" si="25"/>
        <v>0</v>
      </c>
      <c r="AL51" s="19">
        <f ca="1">(IF(MOD(AC51,($AE$15*12)),0,$AG51-IFERROR(SUM(OFFSET(AL50,,,-$AE$15*12)),0))-SUM($AL$28:AL50)*(Z52=0))*(Z51=1)</f>
        <v>0</v>
      </c>
      <c r="AM51" s="19">
        <f t="shared" si="26"/>
        <v>0</v>
      </c>
      <c r="AN51" s="19">
        <f t="shared" si="27"/>
        <v>0</v>
      </c>
      <c r="AP51" s="19">
        <f t="shared" ca="1" si="1"/>
        <v>-3818.9158542808177</v>
      </c>
      <c r="AQ51" s="18">
        <f t="shared" si="2"/>
        <v>0.92190377729948214</v>
      </c>
    </row>
    <row r="52" spans="3:43" x14ac:dyDescent="0.25">
      <c r="C52">
        <f t="shared" si="3"/>
        <v>24</v>
      </c>
      <c r="D52">
        <f t="shared" si="4"/>
        <v>2</v>
      </c>
      <c r="E52" s="12">
        <f t="shared" si="5"/>
        <v>46569</v>
      </c>
      <c r="F52" s="12"/>
      <c r="G52" s="15">
        <f t="shared" si="6"/>
        <v>393.54856928056603</v>
      </c>
      <c r="H52" s="15">
        <f t="shared" si="7"/>
        <v>2400.7219104720034</v>
      </c>
      <c r="I52" s="15"/>
      <c r="J52" s="16">
        <f t="shared" si="8"/>
        <v>656.25</v>
      </c>
      <c r="K52" s="16">
        <f t="shared" si="9"/>
        <v>328.125</v>
      </c>
      <c r="L52">
        <f t="shared" si="10"/>
        <v>546.21000000000072</v>
      </c>
      <c r="M52">
        <f t="shared" si="11"/>
        <v>1365.5250000000017</v>
      </c>
      <c r="N52" s="16">
        <f t="shared" si="12"/>
        <v>520</v>
      </c>
      <c r="O52" s="16"/>
      <c r="P52" s="17">
        <f t="shared" si="13"/>
        <v>-6210.3804797525718</v>
      </c>
      <c r="Q52">
        <f>Q51/(1+Assumptions!$E$8/12)</f>
        <v>0.91865022442132316</v>
      </c>
      <c r="S52" s="17">
        <f t="shared" si="14"/>
        <v>546210.0000000007</v>
      </c>
      <c r="T52" s="17">
        <f>T51*(1+$K$24)*Z52</f>
        <v>546210.0000000007</v>
      </c>
      <c r="U52" s="17">
        <f t="shared" si="15"/>
        <v>411552.32750948623</v>
      </c>
      <c r="V52" s="17">
        <f t="shared" si="16"/>
        <v>411158.7789402057</v>
      </c>
      <c r="W52" s="17">
        <f t="shared" si="17"/>
        <v>135051.221059795</v>
      </c>
      <c r="Y52">
        <f>(MONTH(E52)=MONTH(Assumptions!$E$6))*(YEAR(Assumptions!$E$6)=YEAR('Rent v Mortgage'!E52))</f>
        <v>0</v>
      </c>
      <c r="Z52">
        <f>--(SUM($Y$28:Y51)&lt;1)*AA52</f>
        <v>1</v>
      </c>
      <c r="AA52">
        <f t="shared" si="18"/>
        <v>1</v>
      </c>
      <c r="AB52" s="20"/>
      <c r="AC52">
        <f t="shared" si="19"/>
        <v>24</v>
      </c>
      <c r="AD52">
        <f t="shared" si="20"/>
        <v>2027</v>
      </c>
      <c r="AE52" s="12">
        <f t="shared" si="21"/>
        <v>46569</v>
      </c>
      <c r="AG52" s="19">
        <f t="shared" si="22"/>
        <v>3694.5790590251631</v>
      </c>
      <c r="AH52" s="19">
        <f t="shared" si="23"/>
        <v>266.43598983354542</v>
      </c>
      <c r="AI52" s="19">
        <f t="shared" si="24"/>
        <v>225</v>
      </c>
      <c r="AK52" s="19">
        <f t="shared" si="25"/>
        <v>0</v>
      </c>
      <c r="AL52" s="19">
        <f ca="1">(IF(MOD(AC52,($AE$15*12)),0,$AG52-IFERROR(SUM(OFFSET(AL51,,,-$AE$15*12)),0))-SUM($AL$28:AL51)*(Z53=0))*(Z52=1)</f>
        <v>0</v>
      </c>
      <c r="AM52" s="19">
        <f t="shared" si="26"/>
        <v>0</v>
      </c>
      <c r="AN52" s="19">
        <f t="shared" si="27"/>
        <v>0</v>
      </c>
      <c r="AP52" s="19">
        <f t="shared" ca="1" si="1"/>
        <v>-4186.0150488587087</v>
      </c>
      <c r="AQ52" s="18">
        <f t="shared" si="2"/>
        <v>0.91865022442132316</v>
      </c>
    </row>
    <row r="53" spans="3:43" x14ac:dyDescent="0.25">
      <c r="C53">
        <f t="shared" si="3"/>
        <v>25</v>
      </c>
      <c r="D53">
        <f t="shared" si="4"/>
        <v>2</v>
      </c>
      <c r="E53" s="12">
        <f t="shared" si="5"/>
        <v>46600</v>
      </c>
      <c r="F53" s="12"/>
      <c r="G53" s="15">
        <f t="shared" si="6"/>
        <v>395.84426926803599</v>
      </c>
      <c r="H53" s="15">
        <f t="shared" si="7"/>
        <v>2398.4262104845334</v>
      </c>
      <c r="I53" s="15"/>
      <c r="J53" s="16">
        <f t="shared" si="8"/>
        <v>656.25</v>
      </c>
      <c r="K53" s="16">
        <f t="shared" si="9"/>
        <v>328.125</v>
      </c>
      <c r="L53">
        <f t="shared" si="10"/>
        <v>0</v>
      </c>
      <c r="M53">
        <f t="shared" si="11"/>
        <v>0</v>
      </c>
      <c r="N53" s="16">
        <f t="shared" si="12"/>
        <v>520</v>
      </c>
      <c r="O53" s="16"/>
      <c r="P53" s="17">
        <f t="shared" si="13"/>
        <v>-4298.6454797525694</v>
      </c>
      <c r="Q53">
        <f>Q52/(1+Assumptions!$E$8/12)</f>
        <v>0.91540815387634433</v>
      </c>
      <c r="S53" s="17">
        <f t="shared" si="14"/>
        <v>546210.0000000007</v>
      </c>
      <c r="T53" s="17">
        <f>T52*(1+$K$24)*Z53</f>
        <v>547112.11022292252</v>
      </c>
      <c r="U53" s="17">
        <f t="shared" si="15"/>
        <v>411158.7789402057</v>
      </c>
      <c r="V53" s="17">
        <f t="shared" si="16"/>
        <v>410762.93467093766</v>
      </c>
      <c r="W53" s="17">
        <f t="shared" si="17"/>
        <v>136349.17555198487</v>
      </c>
      <c r="Y53">
        <f>(MONTH(E53)=MONTH(Assumptions!$E$6))*(YEAR(Assumptions!$E$6)=YEAR('Rent v Mortgage'!E53))</f>
        <v>0</v>
      </c>
      <c r="Z53">
        <f>--(SUM($Y$28:Y52)&lt;1)*AA53</f>
        <v>1</v>
      </c>
      <c r="AA53">
        <f t="shared" si="18"/>
        <v>1</v>
      </c>
      <c r="AB53" s="20"/>
      <c r="AC53">
        <f t="shared" si="19"/>
        <v>25</v>
      </c>
      <c r="AD53">
        <f t="shared" si="20"/>
        <v>2027</v>
      </c>
      <c r="AE53" s="12">
        <f t="shared" si="21"/>
        <v>46600</v>
      </c>
      <c r="AG53" s="19">
        <f t="shared" si="22"/>
        <v>3694.5790590251631</v>
      </c>
      <c r="AH53" s="19">
        <f t="shared" si="23"/>
        <v>277.09342942688721</v>
      </c>
      <c r="AI53" s="19">
        <f t="shared" si="24"/>
        <v>0</v>
      </c>
      <c r="AK53" s="19">
        <f t="shared" si="25"/>
        <v>0</v>
      </c>
      <c r="AL53" s="19">
        <f ca="1">(IF(MOD(AC53,($AE$15*12)),0,$AG53-IFERROR(SUM(OFFSET(AL52,,,-$AE$15*12)),0))-SUM($AL$28:AL52)*(Z54=0))*(Z53=1)</f>
        <v>0</v>
      </c>
      <c r="AM53" s="19">
        <f t="shared" si="26"/>
        <v>0</v>
      </c>
      <c r="AN53" s="19">
        <f t="shared" si="27"/>
        <v>0</v>
      </c>
      <c r="AP53" s="19">
        <f t="shared" ca="1" si="1"/>
        <v>-3971.6724884520504</v>
      </c>
      <c r="AQ53" s="18">
        <f t="shared" si="2"/>
        <v>0.91540815387634433</v>
      </c>
    </row>
    <row r="54" spans="3:43" x14ac:dyDescent="0.25">
      <c r="C54">
        <f t="shared" si="3"/>
        <v>26</v>
      </c>
      <c r="D54">
        <f t="shared" si="4"/>
        <v>2</v>
      </c>
      <c r="E54" s="12">
        <f t="shared" si="5"/>
        <v>46631</v>
      </c>
      <c r="F54" s="12"/>
      <c r="G54" s="15">
        <f t="shared" si="6"/>
        <v>398.15336083876622</v>
      </c>
      <c r="H54" s="15">
        <f t="shared" si="7"/>
        <v>2396.1171189138031</v>
      </c>
      <c r="I54" s="15"/>
      <c r="J54" s="16">
        <f t="shared" si="8"/>
        <v>656.25</v>
      </c>
      <c r="K54" s="16">
        <f t="shared" si="9"/>
        <v>328.125</v>
      </c>
      <c r="L54">
        <f t="shared" si="10"/>
        <v>0</v>
      </c>
      <c r="M54">
        <f t="shared" si="11"/>
        <v>0</v>
      </c>
      <c r="N54" s="16">
        <f t="shared" si="12"/>
        <v>520</v>
      </c>
      <c r="O54" s="16"/>
      <c r="P54" s="17">
        <f t="shared" si="13"/>
        <v>-4298.6454797525694</v>
      </c>
      <c r="Q54">
        <f>Q53/(1+Assumptions!$E$8/12)</f>
        <v>0.91217752514146822</v>
      </c>
      <c r="S54" s="17">
        <f t="shared" si="14"/>
        <v>546210.0000000007</v>
      </c>
      <c r="T54" s="17">
        <f>T53*(1+$K$24)*Z54</f>
        <v>548015.71035422082</v>
      </c>
      <c r="U54" s="17">
        <f t="shared" si="15"/>
        <v>410762.93467093766</v>
      </c>
      <c r="V54" s="17">
        <f t="shared" si="16"/>
        <v>410364.78131009889</v>
      </c>
      <c r="W54" s="17">
        <f t="shared" si="17"/>
        <v>137650.92904412193</v>
      </c>
      <c r="Y54">
        <f>(MONTH(E54)=MONTH(Assumptions!$E$6))*(YEAR(Assumptions!$E$6)=YEAR('Rent v Mortgage'!E54))</f>
        <v>0</v>
      </c>
      <c r="Z54">
        <f>--(SUM($Y$28:Y53)&lt;1)*AA54</f>
        <v>1</v>
      </c>
      <c r="AA54">
        <f t="shared" si="18"/>
        <v>1</v>
      </c>
      <c r="AB54" s="20"/>
      <c r="AC54">
        <f t="shared" si="19"/>
        <v>26</v>
      </c>
      <c r="AD54">
        <f t="shared" si="20"/>
        <v>2027</v>
      </c>
      <c r="AE54" s="12">
        <f t="shared" si="21"/>
        <v>46631</v>
      </c>
      <c r="AG54" s="19">
        <f t="shared" si="22"/>
        <v>3694.5790590251631</v>
      </c>
      <c r="AH54" s="19">
        <f t="shared" si="23"/>
        <v>277.09342942688721</v>
      </c>
      <c r="AI54" s="19">
        <f t="shared" si="24"/>
        <v>0</v>
      </c>
      <c r="AK54" s="19">
        <f t="shared" si="25"/>
        <v>0</v>
      </c>
      <c r="AL54" s="19">
        <f ca="1">(IF(MOD(AC54,($AE$15*12)),0,$AG54-IFERROR(SUM(OFFSET(AL53,,,-$AE$15*12)),0))-SUM($AL$28:AL53)*(Z55=0))*(Z54=1)</f>
        <v>0</v>
      </c>
      <c r="AM54" s="19">
        <f t="shared" si="26"/>
        <v>0</v>
      </c>
      <c r="AN54" s="19">
        <f t="shared" si="27"/>
        <v>0</v>
      </c>
      <c r="AP54" s="19">
        <f t="shared" ca="1" si="1"/>
        <v>-3971.6724884520504</v>
      </c>
      <c r="AQ54" s="18">
        <f t="shared" si="2"/>
        <v>0.91217752514146822</v>
      </c>
    </row>
    <row r="55" spans="3:43" x14ac:dyDescent="0.25">
      <c r="C55">
        <f t="shared" si="3"/>
        <v>27</v>
      </c>
      <c r="D55">
        <f t="shared" si="4"/>
        <v>2</v>
      </c>
      <c r="E55" s="12">
        <f t="shared" si="5"/>
        <v>46661</v>
      </c>
      <c r="F55" s="12"/>
      <c r="G55" s="15">
        <f t="shared" si="6"/>
        <v>400.47592211032571</v>
      </c>
      <c r="H55" s="15">
        <f t="shared" si="7"/>
        <v>2393.7945576422435</v>
      </c>
      <c r="I55" s="15"/>
      <c r="J55" s="16">
        <f t="shared" si="8"/>
        <v>656.25</v>
      </c>
      <c r="K55" s="16">
        <f t="shared" si="9"/>
        <v>328.125</v>
      </c>
      <c r="L55">
        <f t="shared" si="10"/>
        <v>0</v>
      </c>
      <c r="M55">
        <f t="shared" si="11"/>
        <v>1365.5250000000017</v>
      </c>
      <c r="N55" s="16">
        <f t="shared" si="12"/>
        <v>520</v>
      </c>
      <c r="O55" s="16"/>
      <c r="P55" s="17">
        <f t="shared" si="13"/>
        <v>-5664.1704797525708</v>
      </c>
      <c r="Q55">
        <f>Q54/(1+Assumptions!$E$8/12)</f>
        <v>0.90895829783663007</v>
      </c>
      <c r="S55" s="17">
        <f t="shared" si="14"/>
        <v>546210.0000000007</v>
      </c>
      <c r="T55" s="17">
        <f>T54*(1+$K$24)*Z55</f>
        <v>548920.80285460036</v>
      </c>
      <c r="U55" s="17">
        <f t="shared" si="15"/>
        <v>410364.78131009889</v>
      </c>
      <c r="V55" s="17">
        <f t="shared" si="16"/>
        <v>409964.30538798857</v>
      </c>
      <c r="W55" s="17">
        <f t="shared" si="17"/>
        <v>138956.49746661179</v>
      </c>
      <c r="Y55">
        <f>(MONTH(E55)=MONTH(Assumptions!$E$6))*(YEAR(Assumptions!$E$6)=YEAR('Rent v Mortgage'!E55))</f>
        <v>0</v>
      </c>
      <c r="Z55">
        <f>--(SUM($Y$28:Y54)&lt;1)*AA55</f>
        <v>1</v>
      </c>
      <c r="AA55">
        <f t="shared" si="18"/>
        <v>1</v>
      </c>
      <c r="AB55" s="20"/>
      <c r="AC55">
        <f t="shared" si="19"/>
        <v>27</v>
      </c>
      <c r="AD55">
        <f t="shared" si="20"/>
        <v>2027</v>
      </c>
      <c r="AE55" s="12">
        <f t="shared" si="21"/>
        <v>46661</v>
      </c>
      <c r="AG55" s="19">
        <f t="shared" si="22"/>
        <v>3694.5790590251631</v>
      </c>
      <c r="AH55" s="19">
        <f t="shared" si="23"/>
        <v>277.09342942688721</v>
      </c>
      <c r="AI55" s="19">
        <f t="shared" si="24"/>
        <v>0</v>
      </c>
      <c r="AK55" s="19">
        <f t="shared" si="25"/>
        <v>0</v>
      </c>
      <c r="AL55" s="19">
        <f ca="1">(IF(MOD(AC55,($AE$15*12)),0,$AG55-IFERROR(SUM(OFFSET(AL54,,,-$AE$15*12)),0))-SUM($AL$28:AL54)*(Z56=0))*(Z55=1)</f>
        <v>0</v>
      </c>
      <c r="AM55" s="19">
        <f t="shared" si="26"/>
        <v>0</v>
      </c>
      <c r="AN55" s="19">
        <f t="shared" si="27"/>
        <v>0</v>
      </c>
      <c r="AP55" s="19">
        <f t="shared" ca="1" si="1"/>
        <v>-3971.6724884520504</v>
      </c>
      <c r="AQ55" s="18">
        <f t="shared" si="2"/>
        <v>0.90895829783663007</v>
      </c>
    </row>
    <row r="56" spans="3:43" x14ac:dyDescent="0.25">
      <c r="C56">
        <f t="shared" si="3"/>
        <v>28</v>
      </c>
      <c r="D56">
        <f t="shared" si="4"/>
        <v>2</v>
      </c>
      <c r="E56" s="12">
        <f t="shared" si="5"/>
        <v>46692</v>
      </c>
      <c r="F56" s="12"/>
      <c r="G56" s="15">
        <f t="shared" si="6"/>
        <v>402.81203165596918</v>
      </c>
      <c r="H56" s="15">
        <f t="shared" si="7"/>
        <v>2391.4584480966</v>
      </c>
      <c r="I56" s="15"/>
      <c r="J56" s="16">
        <f t="shared" si="8"/>
        <v>656.25</v>
      </c>
      <c r="K56" s="16">
        <f t="shared" si="9"/>
        <v>328.125</v>
      </c>
      <c r="L56">
        <f t="shared" si="10"/>
        <v>0</v>
      </c>
      <c r="M56">
        <f t="shared" si="11"/>
        <v>0</v>
      </c>
      <c r="N56" s="16">
        <f t="shared" si="12"/>
        <v>520</v>
      </c>
      <c r="O56" s="16"/>
      <c r="P56" s="17">
        <f t="shared" si="13"/>
        <v>-4298.6454797525694</v>
      </c>
      <c r="Q56">
        <f>Q55/(1+Assumptions!$E$8/12)</f>
        <v>0.90575043172427316</v>
      </c>
      <c r="S56" s="17">
        <f t="shared" si="14"/>
        <v>546210.0000000007</v>
      </c>
      <c r="T56" s="17">
        <f>T55*(1+$K$24)*Z56</f>
        <v>549827.39018883009</v>
      </c>
      <c r="U56" s="17">
        <f t="shared" si="15"/>
        <v>409964.30538798857</v>
      </c>
      <c r="V56" s="17">
        <f t="shared" si="16"/>
        <v>409561.49335633259</v>
      </c>
      <c r="W56" s="17">
        <f t="shared" si="17"/>
        <v>140265.8968324975</v>
      </c>
      <c r="Y56">
        <f>(MONTH(E56)=MONTH(Assumptions!$E$6))*(YEAR(Assumptions!$E$6)=YEAR('Rent v Mortgage'!E56))</f>
        <v>0</v>
      </c>
      <c r="Z56">
        <f>--(SUM($Y$28:Y55)&lt;1)*AA56</f>
        <v>1</v>
      </c>
      <c r="AA56">
        <f t="shared" si="18"/>
        <v>1</v>
      </c>
      <c r="AB56" s="20"/>
      <c r="AC56">
        <f t="shared" si="19"/>
        <v>28</v>
      </c>
      <c r="AD56">
        <f t="shared" si="20"/>
        <v>2027</v>
      </c>
      <c r="AE56" s="12">
        <f t="shared" si="21"/>
        <v>46692</v>
      </c>
      <c r="AG56" s="19">
        <f t="shared" si="22"/>
        <v>3694.5790590251631</v>
      </c>
      <c r="AH56" s="19">
        <f t="shared" si="23"/>
        <v>277.09342942688721</v>
      </c>
      <c r="AI56" s="19">
        <f t="shared" si="24"/>
        <v>0</v>
      </c>
      <c r="AK56" s="19">
        <f t="shared" si="25"/>
        <v>0</v>
      </c>
      <c r="AL56" s="19">
        <f ca="1">(IF(MOD(AC56,($AE$15*12)),0,$AG56-IFERROR(SUM(OFFSET(AL55,,,-$AE$15*12)),0))-SUM($AL$28:AL55)*(Z57=0))*(Z56=1)</f>
        <v>0</v>
      </c>
      <c r="AM56" s="19">
        <f t="shared" si="26"/>
        <v>0</v>
      </c>
      <c r="AN56" s="19">
        <f t="shared" si="27"/>
        <v>0</v>
      </c>
      <c r="AP56" s="19">
        <f t="shared" ca="1" si="1"/>
        <v>-3971.6724884520504</v>
      </c>
      <c r="AQ56" s="18">
        <f t="shared" si="2"/>
        <v>0.90575043172427316</v>
      </c>
    </row>
    <row r="57" spans="3:43" x14ac:dyDescent="0.25">
      <c r="C57">
        <f t="shared" si="3"/>
        <v>29</v>
      </c>
      <c r="D57">
        <f t="shared" si="4"/>
        <v>2</v>
      </c>
      <c r="E57" s="12">
        <f t="shared" si="5"/>
        <v>46722</v>
      </c>
      <c r="F57" s="12"/>
      <c r="G57" s="15">
        <f t="shared" si="6"/>
        <v>405.16176850729568</v>
      </c>
      <c r="H57" s="15">
        <f t="shared" si="7"/>
        <v>2389.1087112452738</v>
      </c>
      <c r="I57" s="15"/>
      <c r="J57" s="16">
        <f t="shared" si="8"/>
        <v>656.25</v>
      </c>
      <c r="K57" s="16">
        <f t="shared" si="9"/>
        <v>328.125</v>
      </c>
      <c r="L57">
        <f t="shared" si="10"/>
        <v>0</v>
      </c>
      <c r="M57">
        <f t="shared" si="11"/>
        <v>0</v>
      </c>
      <c r="N57" s="16">
        <f t="shared" si="12"/>
        <v>520</v>
      </c>
      <c r="O57" s="16"/>
      <c r="P57" s="17">
        <f t="shared" si="13"/>
        <v>-4298.6454797525694</v>
      </c>
      <c r="Q57">
        <f>Q56/(1+Assumptions!$E$8/12)</f>
        <v>0.90255388670884595</v>
      </c>
      <c r="S57" s="17">
        <f t="shared" si="14"/>
        <v>546210.0000000007</v>
      </c>
      <c r="T57" s="17">
        <f>T56*(1+$K$24)*Z57</f>
        <v>550735.47482574952</v>
      </c>
      <c r="U57" s="17">
        <f t="shared" si="15"/>
        <v>409561.49335633259</v>
      </c>
      <c r="V57" s="17">
        <f t="shared" si="16"/>
        <v>409156.33158782532</v>
      </c>
      <c r="W57" s="17">
        <f t="shared" si="17"/>
        <v>141579.1432379242</v>
      </c>
      <c r="Y57">
        <f>(MONTH(E57)=MONTH(Assumptions!$E$6))*(YEAR(Assumptions!$E$6)=YEAR('Rent v Mortgage'!E57))</f>
        <v>0</v>
      </c>
      <c r="Z57">
        <f>--(SUM($Y$28:Y56)&lt;1)*AA57</f>
        <v>1</v>
      </c>
      <c r="AA57">
        <f t="shared" si="18"/>
        <v>1</v>
      </c>
      <c r="AB57" s="20"/>
      <c r="AC57">
        <f t="shared" si="19"/>
        <v>29</v>
      </c>
      <c r="AD57">
        <f t="shared" si="20"/>
        <v>2027</v>
      </c>
      <c r="AE57" s="12">
        <f t="shared" si="21"/>
        <v>46722</v>
      </c>
      <c r="AG57" s="19">
        <f t="shared" si="22"/>
        <v>3694.5790590251631</v>
      </c>
      <c r="AH57" s="19">
        <f t="shared" si="23"/>
        <v>277.09342942688721</v>
      </c>
      <c r="AI57" s="19">
        <f t="shared" si="24"/>
        <v>0</v>
      </c>
      <c r="AK57" s="19">
        <f t="shared" si="25"/>
        <v>0</v>
      </c>
      <c r="AL57" s="19">
        <f ca="1">(IF(MOD(AC57,($AE$15*12)),0,$AG57-IFERROR(SUM(OFFSET(AL56,,,-$AE$15*12)),0))-SUM($AL$28:AL56)*(Z58=0))*(Z57=1)</f>
        <v>0</v>
      </c>
      <c r="AM57" s="19">
        <f t="shared" si="26"/>
        <v>0</v>
      </c>
      <c r="AN57" s="19">
        <f t="shared" si="27"/>
        <v>0</v>
      </c>
      <c r="AP57" s="19">
        <f t="shared" ca="1" si="1"/>
        <v>-3971.6724884520504</v>
      </c>
      <c r="AQ57" s="18">
        <f t="shared" si="2"/>
        <v>0.90255388670884595</v>
      </c>
    </row>
    <row r="58" spans="3:43" x14ac:dyDescent="0.25">
      <c r="C58">
        <f t="shared" si="3"/>
        <v>30</v>
      </c>
      <c r="D58">
        <f t="shared" si="4"/>
        <v>2</v>
      </c>
      <c r="E58" s="12">
        <f t="shared" si="5"/>
        <v>46753</v>
      </c>
      <c r="F58" s="12"/>
      <c r="G58" s="15">
        <f t="shared" si="6"/>
        <v>407.52521215692161</v>
      </c>
      <c r="H58" s="15">
        <f t="shared" si="7"/>
        <v>2386.7452675956479</v>
      </c>
      <c r="I58" s="15"/>
      <c r="J58" s="16">
        <f t="shared" si="8"/>
        <v>656.25</v>
      </c>
      <c r="K58" s="16">
        <f t="shared" si="9"/>
        <v>328.125</v>
      </c>
      <c r="L58">
        <f t="shared" si="10"/>
        <v>0</v>
      </c>
      <c r="M58">
        <f t="shared" si="11"/>
        <v>1365.5250000000017</v>
      </c>
      <c r="N58" s="16">
        <f t="shared" si="12"/>
        <v>520</v>
      </c>
      <c r="O58" s="16"/>
      <c r="P58" s="17">
        <f t="shared" si="13"/>
        <v>-5664.1704797525708</v>
      </c>
      <c r="Q58">
        <f>Q57/(1+Assumptions!$E$8/12)</f>
        <v>0.89936862283630059</v>
      </c>
      <c r="S58" s="17">
        <f t="shared" si="14"/>
        <v>546210.0000000007</v>
      </c>
      <c r="T58" s="17">
        <f>T57*(1+$K$24)*Z58</f>
        <v>551645.05923827586</v>
      </c>
      <c r="U58" s="17">
        <f t="shared" si="15"/>
        <v>409156.33158782532</v>
      </c>
      <c r="V58" s="17">
        <f t="shared" si="16"/>
        <v>408748.80637566838</v>
      </c>
      <c r="W58" s="17">
        <f t="shared" si="17"/>
        <v>142896.25286260748</v>
      </c>
      <c r="Y58">
        <f>(MONTH(E58)=MONTH(Assumptions!$E$6))*(YEAR(Assumptions!$E$6)=YEAR('Rent v Mortgage'!E58))</f>
        <v>0</v>
      </c>
      <c r="Z58">
        <f>--(SUM($Y$28:Y57)&lt;1)*AA58</f>
        <v>1</v>
      </c>
      <c r="AA58">
        <f t="shared" si="18"/>
        <v>1</v>
      </c>
      <c r="AB58" s="20"/>
      <c r="AC58">
        <f t="shared" si="19"/>
        <v>30</v>
      </c>
      <c r="AD58">
        <f t="shared" si="20"/>
        <v>2028</v>
      </c>
      <c r="AE58" s="12">
        <f t="shared" si="21"/>
        <v>46753</v>
      </c>
      <c r="AG58" s="19">
        <f t="shared" si="22"/>
        <v>3694.5790590251631</v>
      </c>
      <c r="AH58" s="19">
        <f t="shared" si="23"/>
        <v>277.09342942688721</v>
      </c>
      <c r="AI58" s="19">
        <f t="shared" si="24"/>
        <v>0</v>
      </c>
      <c r="AK58" s="19">
        <f t="shared" si="25"/>
        <v>0</v>
      </c>
      <c r="AL58" s="19">
        <f ca="1">(IF(MOD(AC58,($AE$15*12)),0,$AG58-IFERROR(SUM(OFFSET(AL57,,,-$AE$15*12)),0))-SUM($AL$28:AL57)*(Z59=0))*(Z58=1)</f>
        <v>0</v>
      </c>
      <c r="AM58" s="19">
        <f t="shared" si="26"/>
        <v>0</v>
      </c>
      <c r="AN58" s="19">
        <f t="shared" si="27"/>
        <v>0</v>
      </c>
      <c r="AP58" s="19">
        <f t="shared" ca="1" si="1"/>
        <v>-3971.6724884520504</v>
      </c>
      <c r="AQ58" s="18">
        <f t="shared" si="2"/>
        <v>0.89936862283630059</v>
      </c>
    </row>
    <row r="59" spans="3:43" x14ac:dyDescent="0.25">
      <c r="C59">
        <f t="shared" si="3"/>
        <v>31</v>
      </c>
      <c r="D59">
        <f t="shared" si="4"/>
        <v>2</v>
      </c>
      <c r="E59" s="12">
        <f t="shared" si="5"/>
        <v>46784</v>
      </c>
      <c r="F59" s="12"/>
      <c r="G59" s="15">
        <f t="shared" si="6"/>
        <v>409.90244256117029</v>
      </c>
      <c r="H59" s="15">
        <f t="shared" si="7"/>
        <v>2384.3680371913993</v>
      </c>
      <c r="I59" s="15"/>
      <c r="J59" s="16">
        <f t="shared" si="8"/>
        <v>656.25</v>
      </c>
      <c r="K59" s="16">
        <f t="shared" si="9"/>
        <v>328.125</v>
      </c>
      <c r="L59">
        <f t="shared" si="10"/>
        <v>0</v>
      </c>
      <c r="M59">
        <f t="shared" si="11"/>
        <v>0</v>
      </c>
      <c r="N59" s="16">
        <f t="shared" si="12"/>
        <v>520</v>
      </c>
      <c r="O59" s="16"/>
      <c r="P59" s="17">
        <f t="shared" si="13"/>
        <v>-4298.6454797525694</v>
      </c>
      <c r="Q59">
        <f>Q58/(1+Assumptions!$E$8/12)</f>
        <v>0.89619460029359399</v>
      </c>
      <c r="S59" s="17">
        <f t="shared" si="14"/>
        <v>546210.0000000007</v>
      </c>
      <c r="T59" s="17">
        <f>T58*(1+$K$24)*Z59</f>
        <v>552556.14590341051</v>
      </c>
      <c r="U59" s="17">
        <f t="shared" si="15"/>
        <v>408748.80637566838</v>
      </c>
      <c r="V59" s="17">
        <f t="shared" si="16"/>
        <v>408338.90393310721</v>
      </c>
      <c r="W59" s="17">
        <f t="shared" si="17"/>
        <v>144217.24197030329</v>
      </c>
      <c r="Y59">
        <f>(MONTH(E59)=MONTH(Assumptions!$E$6))*(YEAR(Assumptions!$E$6)=YEAR('Rent v Mortgage'!E59))</f>
        <v>0</v>
      </c>
      <c r="Z59">
        <f>--(SUM($Y$28:Y58)&lt;1)*AA59</f>
        <v>1</v>
      </c>
      <c r="AA59">
        <f t="shared" si="18"/>
        <v>1</v>
      </c>
      <c r="AB59" s="20"/>
      <c r="AC59">
        <f t="shared" si="19"/>
        <v>31</v>
      </c>
      <c r="AD59">
        <f t="shared" si="20"/>
        <v>2028</v>
      </c>
      <c r="AE59" s="12">
        <f t="shared" si="21"/>
        <v>46784</v>
      </c>
      <c r="AG59" s="19">
        <f t="shared" si="22"/>
        <v>3694.5790590251631</v>
      </c>
      <c r="AH59" s="19">
        <f t="shared" si="23"/>
        <v>277.09342942688721</v>
      </c>
      <c r="AI59" s="19">
        <f t="shared" si="24"/>
        <v>0</v>
      </c>
      <c r="AK59" s="19">
        <f t="shared" si="25"/>
        <v>0</v>
      </c>
      <c r="AL59" s="19">
        <f ca="1">(IF(MOD(AC59,($AE$15*12)),0,$AG59-IFERROR(SUM(OFFSET(AL58,,,-$AE$15*12)),0))-SUM($AL$28:AL58)*(Z60=0))*(Z59=1)</f>
        <v>0</v>
      </c>
      <c r="AM59" s="19">
        <f t="shared" si="26"/>
        <v>0</v>
      </c>
      <c r="AN59" s="19">
        <f t="shared" si="27"/>
        <v>0</v>
      </c>
      <c r="AP59" s="19">
        <f t="shared" ca="1" si="1"/>
        <v>-3971.6724884520504</v>
      </c>
      <c r="AQ59" s="18">
        <f t="shared" si="2"/>
        <v>0.89619460029359399</v>
      </c>
    </row>
    <row r="60" spans="3:43" x14ac:dyDescent="0.25">
      <c r="C60">
        <f t="shared" si="3"/>
        <v>32</v>
      </c>
      <c r="D60">
        <f t="shared" si="4"/>
        <v>2</v>
      </c>
      <c r="E60" s="12">
        <f t="shared" si="5"/>
        <v>46813</v>
      </c>
      <c r="F60" s="12"/>
      <c r="G60" s="15">
        <f t="shared" si="6"/>
        <v>412.29354014277703</v>
      </c>
      <c r="H60" s="15">
        <f t="shared" si="7"/>
        <v>2381.9769396097922</v>
      </c>
      <c r="I60" s="15"/>
      <c r="J60" s="16">
        <f t="shared" si="8"/>
        <v>656.25</v>
      </c>
      <c r="K60" s="16">
        <f t="shared" si="9"/>
        <v>328.125</v>
      </c>
      <c r="L60">
        <f t="shared" si="10"/>
        <v>0</v>
      </c>
      <c r="M60">
        <f t="shared" si="11"/>
        <v>0</v>
      </c>
      <c r="N60" s="16">
        <f t="shared" si="12"/>
        <v>520</v>
      </c>
      <c r="O60" s="16"/>
      <c r="P60" s="17">
        <f t="shared" si="13"/>
        <v>-4298.6454797525694</v>
      </c>
      <c r="Q60">
        <f>Q59/(1+Assumptions!$E$8/12)</f>
        <v>0.8930317794081899</v>
      </c>
      <c r="S60" s="17">
        <f t="shared" si="14"/>
        <v>546210.0000000007</v>
      </c>
      <c r="T60" s="17">
        <f>T59*(1+$K$24)*Z60</f>
        <v>553468.73730224569</v>
      </c>
      <c r="U60" s="17">
        <f t="shared" si="15"/>
        <v>408338.90393310721</v>
      </c>
      <c r="V60" s="17">
        <f t="shared" si="16"/>
        <v>407926.61039296445</v>
      </c>
      <c r="W60" s="17">
        <f t="shared" si="17"/>
        <v>145542.12690928124</v>
      </c>
      <c r="Y60">
        <f>(MONTH(E60)=MONTH(Assumptions!$E$6))*(YEAR(Assumptions!$E$6)=YEAR('Rent v Mortgage'!E60))</f>
        <v>0</v>
      </c>
      <c r="Z60">
        <f>--(SUM($Y$28:Y59)&lt;1)*AA60</f>
        <v>1</v>
      </c>
      <c r="AA60">
        <f t="shared" si="18"/>
        <v>1</v>
      </c>
      <c r="AB60" s="20"/>
      <c r="AC60">
        <f t="shared" si="19"/>
        <v>32</v>
      </c>
      <c r="AD60">
        <f t="shared" si="20"/>
        <v>2028</v>
      </c>
      <c r="AE60" s="12">
        <f t="shared" si="21"/>
        <v>46813</v>
      </c>
      <c r="AG60" s="19">
        <f t="shared" si="22"/>
        <v>3694.5790590251631</v>
      </c>
      <c r="AH60" s="19">
        <f t="shared" si="23"/>
        <v>277.09342942688721</v>
      </c>
      <c r="AI60" s="19">
        <f t="shared" si="24"/>
        <v>0</v>
      </c>
      <c r="AK60" s="19">
        <f t="shared" si="25"/>
        <v>0</v>
      </c>
      <c r="AL60" s="19">
        <f ca="1">(IF(MOD(AC60,($AE$15*12)),0,$AG60-IFERROR(SUM(OFFSET(AL59,,,-$AE$15*12)),0))-SUM($AL$28:AL59)*(Z61=0))*(Z60=1)</f>
        <v>0</v>
      </c>
      <c r="AM60" s="19">
        <f t="shared" si="26"/>
        <v>0</v>
      </c>
      <c r="AN60" s="19">
        <f t="shared" si="27"/>
        <v>0</v>
      </c>
      <c r="AP60" s="19">
        <f t="shared" ca="1" si="1"/>
        <v>-3971.6724884520504</v>
      </c>
      <c r="AQ60" s="18">
        <f t="shared" si="2"/>
        <v>0.8930317794081899</v>
      </c>
    </row>
    <row r="61" spans="3:43" x14ac:dyDescent="0.25">
      <c r="C61">
        <f t="shared" si="3"/>
        <v>33</v>
      </c>
      <c r="D61">
        <f t="shared" si="4"/>
        <v>2</v>
      </c>
      <c r="E61" s="12">
        <f t="shared" si="5"/>
        <v>46844</v>
      </c>
      <c r="F61" s="12"/>
      <c r="G61" s="15">
        <f t="shared" si="6"/>
        <v>414.69858579360999</v>
      </c>
      <c r="H61" s="15">
        <f t="shared" si="7"/>
        <v>2379.5718939589592</v>
      </c>
      <c r="I61" s="15"/>
      <c r="J61" s="16">
        <f t="shared" si="8"/>
        <v>656.25</v>
      </c>
      <c r="K61" s="16">
        <f t="shared" si="9"/>
        <v>328.125</v>
      </c>
      <c r="L61">
        <f t="shared" si="10"/>
        <v>0</v>
      </c>
      <c r="M61">
        <f t="shared" si="11"/>
        <v>1365.5250000000017</v>
      </c>
      <c r="N61" s="16">
        <f t="shared" si="12"/>
        <v>520</v>
      </c>
      <c r="O61" s="16"/>
      <c r="P61" s="17">
        <f t="shared" si="13"/>
        <v>-5664.1704797525708</v>
      </c>
      <c r="Q61">
        <f>Q60/(1+Assumptions!$E$8/12)</f>
        <v>0.88988012064756306</v>
      </c>
      <c r="S61" s="17">
        <f t="shared" si="14"/>
        <v>546210.0000000007</v>
      </c>
      <c r="T61" s="17">
        <f>T60*(1+$K$24)*Z61</f>
        <v>554382.83591997146</v>
      </c>
      <c r="U61" s="17">
        <f t="shared" si="15"/>
        <v>407926.61039296445</v>
      </c>
      <c r="V61" s="17">
        <f t="shared" si="16"/>
        <v>407511.91180717084</v>
      </c>
      <c r="W61" s="17">
        <f t="shared" si="17"/>
        <v>146870.92411280063</v>
      </c>
      <c r="Y61">
        <f>(MONTH(E61)=MONTH(Assumptions!$E$6))*(YEAR(Assumptions!$E$6)=YEAR('Rent v Mortgage'!E61))</f>
        <v>0</v>
      </c>
      <c r="Z61">
        <f>--(SUM($Y$28:Y60)&lt;1)*AA61</f>
        <v>1</v>
      </c>
      <c r="AA61">
        <f t="shared" si="18"/>
        <v>1</v>
      </c>
      <c r="AB61" s="20"/>
      <c r="AC61">
        <f t="shared" si="19"/>
        <v>33</v>
      </c>
      <c r="AD61">
        <f t="shared" si="20"/>
        <v>2028</v>
      </c>
      <c r="AE61" s="12">
        <f t="shared" si="21"/>
        <v>46844</v>
      </c>
      <c r="AG61" s="19">
        <f t="shared" si="22"/>
        <v>3694.5790590251631</v>
      </c>
      <c r="AH61" s="19">
        <f t="shared" si="23"/>
        <v>277.09342942688721</v>
      </c>
      <c r="AI61" s="19">
        <f t="shared" si="24"/>
        <v>0</v>
      </c>
      <c r="AK61" s="19">
        <f t="shared" si="25"/>
        <v>0</v>
      </c>
      <c r="AL61" s="19">
        <f ca="1">(IF(MOD(AC61,($AE$15*12)),0,$AG61-IFERROR(SUM(OFFSET(AL60,,,-$AE$15*12)),0))-SUM($AL$28:AL60)*(Z62=0))*(Z61=1)</f>
        <v>0</v>
      </c>
      <c r="AM61" s="19">
        <f t="shared" si="26"/>
        <v>0</v>
      </c>
      <c r="AN61" s="19">
        <f t="shared" si="27"/>
        <v>0</v>
      </c>
      <c r="AP61" s="19">
        <f t="shared" ca="1" si="1"/>
        <v>-3971.6724884520504</v>
      </c>
      <c r="AQ61" s="18">
        <f t="shared" si="2"/>
        <v>0.88988012064756306</v>
      </c>
    </row>
    <row r="62" spans="3:43" x14ac:dyDescent="0.25">
      <c r="C62">
        <f t="shared" si="3"/>
        <v>34</v>
      </c>
      <c r="D62">
        <f t="shared" si="4"/>
        <v>2</v>
      </c>
      <c r="E62" s="12">
        <f t="shared" si="5"/>
        <v>46874</v>
      </c>
      <c r="F62" s="12"/>
      <c r="G62" s="15">
        <f t="shared" si="6"/>
        <v>417.11766087740597</v>
      </c>
      <c r="H62" s="15">
        <f t="shared" si="7"/>
        <v>2377.1528188751636</v>
      </c>
      <c r="I62" s="15"/>
      <c r="J62" s="16">
        <f t="shared" si="8"/>
        <v>656.25</v>
      </c>
      <c r="K62" s="16">
        <f t="shared" si="9"/>
        <v>328.125</v>
      </c>
      <c r="L62">
        <f t="shared" si="10"/>
        <v>0</v>
      </c>
      <c r="M62">
        <f t="shared" si="11"/>
        <v>0</v>
      </c>
      <c r="N62" s="16">
        <f t="shared" si="12"/>
        <v>520</v>
      </c>
      <c r="O62" s="16"/>
      <c r="P62" s="17">
        <f t="shared" si="13"/>
        <v>-4298.6454797525694</v>
      </c>
      <c r="Q62">
        <f>Q61/(1+Assumptions!$E$8/12)</f>
        <v>0.88673958461870506</v>
      </c>
      <c r="S62" s="17">
        <f t="shared" si="14"/>
        <v>546210.0000000007</v>
      </c>
      <c r="T62" s="17">
        <f>T61*(1+$K$24)*Z62</f>
        <v>555298.44424588245</v>
      </c>
      <c r="U62" s="17">
        <f t="shared" si="15"/>
        <v>407511.91180717084</v>
      </c>
      <c r="V62" s="17">
        <f t="shared" si="16"/>
        <v>407094.79414629343</v>
      </c>
      <c r="W62" s="17">
        <f t="shared" si="17"/>
        <v>148203.65009958902</v>
      </c>
      <c r="Y62">
        <f>(MONTH(E62)=MONTH(Assumptions!$E$6))*(YEAR(Assumptions!$E$6)=YEAR('Rent v Mortgage'!E62))</f>
        <v>0</v>
      </c>
      <c r="Z62">
        <f>--(SUM($Y$28:Y61)&lt;1)*AA62</f>
        <v>1</v>
      </c>
      <c r="AA62">
        <f t="shared" si="18"/>
        <v>1</v>
      </c>
      <c r="AB62" s="20"/>
      <c r="AC62">
        <f t="shared" si="19"/>
        <v>34</v>
      </c>
      <c r="AD62">
        <f t="shared" si="20"/>
        <v>2028</v>
      </c>
      <c r="AE62" s="12">
        <f t="shared" si="21"/>
        <v>46874</v>
      </c>
      <c r="AG62" s="19">
        <f t="shared" si="22"/>
        <v>3694.5790590251631</v>
      </c>
      <c r="AH62" s="19">
        <f t="shared" si="23"/>
        <v>277.09342942688721</v>
      </c>
      <c r="AI62" s="19">
        <f t="shared" si="24"/>
        <v>0</v>
      </c>
      <c r="AK62" s="19">
        <f t="shared" si="25"/>
        <v>0</v>
      </c>
      <c r="AL62" s="19">
        <f ca="1">(IF(MOD(AC62,($AE$15*12)),0,$AG62-IFERROR(SUM(OFFSET(AL61,,,-$AE$15*12)),0))-SUM($AL$28:AL61)*(Z63=0))*(Z62=1)</f>
        <v>0</v>
      </c>
      <c r="AM62" s="19">
        <f t="shared" si="26"/>
        <v>0</v>
      </c>
      <c r="AN62" s="19">
        <f t="shared" si="27"/>
        <v>0</v>
      </c>
      <c r="AP62" s="19">
        <f t="shared" ca="1" si="1"/>
        <v>-3971.6724884520504</v>
      </c>
      <c r="AQ62" s="18">
        <f t="shared" si="2"/>
        <v>0.88673958461870506</v>
      </c>
    </row>
    <row r="63" spans="3:43" x14ac:dyDescent="0.25">
      <c r="C63">
        <f t="shared" si="3"/>
        <v>35</v>
      </c>
      <c r="D63">
        <f t="shared" si="4"/>
        <v>2</v>
      </c>
      <c r="E63" s="12">
        <f t="shared" si="5"/>
        <v>46905</v>
      </c>
      <c r="F63" s="12"/>
      <c r="G63" s="15">
        <f t="shared" si="6"/>
        <v>419.55084723252423</v>
      </c>
      <c r="H63" s="15">
        <f t="shared" si="7"/>
        <v>2374.7196325200453</v>
      </c>
      <c r="I63" s="15"/>
      <c r="J63" s="16">
        <f t="shared" si="8"/>
        <v>656.25</v>
      </c>
      <c r="K63" s="16">
        <f t="shared" si="9"/>
        <v>328.125</v>
      </c>
      <c r="L63">
        <f t="shared" si="10"/>
        <v>0</v>
      </c>
      <c r="M63">
        <f t="shared" si="11"/>
        <v>0</v>
      </c>
      <c r="N63" s="16">
        <f t="shared" si="12"/>
        <v>520</v>
      </c>
      <c r="O63" s="16"/>
      <c r="P63" s="17">
        <f t="shared" si="13"/>
        <v>-4298.6454797525694</v>
      </c>
      <c r="Q63">
        <f>Q62/(1+Assumptions!$E$8/12)</f>
        <v>0.88361013206763206</v>
      </c>
      <c r="S63" s="17">
        <f t="shared" si="14"/>
        <v>546210.0000000007</v>
      </c>
      <c r="T63" s="17">
        <f>T62*(1+$K$24)*Z63</f>
        <v>556215.56477338437</v>
      </c>
      <c r="U63" s="17">
        <f t="shared" si="15"/>
        <v>407094.79414629343</v>
      </c>
      <c r="V63" s="17">
        <f t="shared" si="16"/>
        <v>406675.24329906091</v>
      </c>
      <c r="W63" s="17">
        <f t="shared" si="17"/>
        <v>149540.32147432346</v>
      </c>
      <c r="Y63">
        <f>(MONTH(E63)=MONTH(Assumptions!$E$6))*(YEAR(Assumptions!$E$6)=YEAR('Rent v Mortgage'!E63))</f>
        <v>0</v>
      </c>
      <c r="Z63">
        <f>--(SUM($Y$28:Y62)&lt;1)*AA63</f>
        <v>1</v>
      </c>
      <c r="AA63">
        <f t="shared" si="18"/>
        <v>1</v>
      </c>
      <c r="AB63" s="20"/>
      <c r="AC63">
        <f t="shared" si="19"/>
        <v>35</v>
      </c>
      <c r="AD63">
        <f t="shared" si="20"/>
        <v>2028</v>
      </c>
      <c r="AE63" s="12">
        <f t="shared" si="21"/>
        <v>46905</v>
      </c>
      <c r="AG63" s="19">
        <f t="shared" si="22"/>
        <v>3694.5790590251631</v>
      </c>
      <c r="AH63" s="19">
        <f t="shared" si="23"/>
        <v>277.09342942688721</v>
      </c>
      <c r="AI63" s="19">
        <f t="shared" si="24"/>
        <v>0</v>
      </c>
      <c r="AK63" s="19">
        <f t="shared" si="25"/>
        <v>0</v>
      </c>
      <c r="AL63" s="19">
        <f ca="1">(IF(MOD(AC63,($AE$15*12)),0,$AG63-IFERROR(SUM(OFFSET(AL62,,,-$AE$15*12)),0))-SUM($AL$28:AL62)*(Z64=0))*(Z63=1)</f>
        <v>0</v>
      </c>
      <c r="AM63" s="19">
        <f t="shared" si="26"/>
        <v>0</v>
      </c>
      <c r="AN63" s="19">
        <f t="shared" si="27"/>
        <v>0</v>
      </c>
      <c r="AP63" s="19">
        <f t="shared" ca="1" si="1"/>
        <v>-3971.6724884520504</v>
      </c>
      <c r="AQ63" s="18">
        <f t="shared" si="2"/>
        <v>0.88361013206763206</v>
      </c>
    </row>
    <row r="64" spans="3:43" x14ac:dyDescent="0.25">
      <c r="C64">
        <f t="shared" si="3"/>
        <v>36</v>
      </c>
      <c r="D64">
        <f t="shared" si="4"/>
        <v>3</v>
      </c>
      <c r="E64" s="12">
        <f t="shared" si="5"/>
        <v>46935</v>
      </c>
      <c r="F64" s="12"/>
      <c r="G64" s="15">
        <f t="shared" si="6"/>
        <v>421.99822717471409</v>
      </c>
      <c r="H64" s="15">
        <f t="shared" si="7"/>
        <v>2372.2722525778554</v>
      </c>
      <c r="I64" s="15"/>
      <c r="J64" s="16">
        <f t="shared" si="8"/>
        <v>656.25</v>
      </c>
      <c r="K64" s="16">
        <f t="shared" si="9"/>
        <v>328.125</v>
      </c>
      <c r="L64">
        <f t="shared" si="10"/>
        <v>557.1342000000011</v>
      </c>
      <c r="M64">
        <f t="shared" si="11"/>
        <v>1392.8355000000029</v>
      </c>
      <c r="N64" s="16">
        <f t="shared" si="12"/>
        <v>520</v>
      </c>
      <c r="O64" s="16"/>
      <c r="P64" s="17">
        <f t="shared" si="13"/>
        <v>-6248.6151797525736</v>
      </c>
      <c r="Q64">
        <f>Q63/(1+Assumptions!$E$8/12)</f>
        <v>0.88049172387889418</v>
      </c>
      <c r="S64" s="17">
        <f t="shared" si="14"/>
        <v>557134.20000000112</v>
      </c>
      <c r="T64" s="17">
        <f>T63*(1+$K$24)*Z64</f>
        <v>557134.20000000112</v>
      </c>
      <c r="U64" s="17">
        <f t="shared" si="15"/>
        <v>406675.24329906091</v>
      </c>
      <c r="V64" s="17">
        <f t="shared" si="16"/>
        <v>406253.24507188617</v>
      </c>
      <c r="W64" s="17">
        <f t="shared" si="17"/>
        <v>150880.95492811495</v>
      </c>
      <c r="Y64">
        <f>(MONTH(E64)=MONTH(Assumptions!$E$6))*(YEAR(Assumptions!$E$6)=YEAR('Rent v Mortgage'!E64))</f>
        <v>0</v>
      </c>
      <c r="Z64">
        <f>--(SUM($Y$28:Y63)&lt;1)*AA64</f>
        <v>1</v>
      </c>
      <c r="AA64">
        <f t="shared" si="18"/>
        <v>1</v>
      </c>
      <c r="AB64" s="20"/>
      <c r="AC64">
        <f t="shared" si="19"/>
        <v>36</v>
      </c>
      <c r="AD64">
        <f t="shared" si="20"/>
        <v>2028</v>
      </c>
      <c r="AE64" s="12">
        <f t="shared" si="21"/>
        <v>46935</v>
      </c>
      <c r="AG64" s="19">
        <f t="shared" si="22"/>
        <v>3842.3622213861699</v>
      </c>
      <c r="AH64" s="19">
        <f t="shared" si="23"/>
        <v>277.09342942688721</v>
      </c>
      <c r="AI64" s="19">
        <f t="shared" si="24"/>
        <v>225</v>
      </c>
      <c r="AK64" s="19">
        <f t="shared" si="25"/>
        <v>1200</v>
      </c>
      <c r="AL64" s="19">
        <f ca="1">(IF(MOD(AC64,($AE$15*12)),0,$AG64-IFERROR(SUM(OFFSET(AL63,,,-$AE$15*12)),0))-SUM($AL$28:AL63)*(Z65=0))*(Z64=1)</f>
        <v>426.51619787917753</v>
      </c>
      <c r="AM64" s="19">
        <f t="shared" si="26"/>
        <v>100</v>
      </c>
      <c r="AN64" s="19">
        <f t="shared" si="27"/>
        <v>0</v>
      </c>
      <c r="AP64" s="19">
        <f t="shared" ca="1" si="1"/>
        <v>-6070.9718486922347</v>
      </c>
      <c r="AQ64" s="18">
        <f t="shared" si="2"/>
        <v>0.88049172387889418</v>
      </c>
    </row>
    <row r="65" spans="3:43" x14ac:dyDescent="0.25">
      <c r="C65">
        <f t="shared" si="3"/>
        <v>37</v>
      </c>
      <c r="D65">
        <f t="shared" si="4"/>
        <v>3</v>
      </c>
      <c r="E65" s="12">
        <f t="shared" si="5"/>
        <v>46966</v>
      </c>
      <c r="F65" s="12"/>
      <c r="G65" s="15">
        <f t="shared" si="6"/>
        <v>424.45988349989983</v>
      </c>
      <c r="H65" s="15">
        <f t="shared" si="7"/>
        <v>2369.8105962526697</v>
      </c>
      <c r="I65" s="15"/>
      <c r="J65" s="16">
        <f t="shared" si="8"/>
        <v>656.25</v>
      </c>
      <c r="K65" s="16">
        <f t="shared" si="9"/>
        <v>328.125</v>
      </c>
      <c r="L65">
        <f t="shared" si="10"/>
        <v>0</v>
      </c>
      <c r="M65">
        <f t="shared" si="11"/>
        <v>0</v>
      </c>
      <c r="N65" s="16">
        <f t="shared" si="12"/>
        <v>520</v>
      </c>
      <c r="O65" s="16"/>
      <c r="P65" s="17">
        <f t="shared" si="13"/>
        <v>-4298.6454797525694</v>
      </c>
      <c r="Q65">
        <f>Q64/(1+Assumptions!$E$8/12)</f>
        <v>0.87738432107508646</v>
      </c>
      <c r="S65" s="17">
        <f t="shared" si="14"/>
        <v>557134.20000000112</v>
      </c>
      <c r="T65" s="17">
        <f>T64*(1+$K$24)*Z65</f>
        <v>558054.35242738144</v>
      </c>
      <c r="U65" s="17">
        <f t="shared" si="15"/>
        <v>406253.24507188617</v>
      </c>
      <c r="V65" s="17">
        <f t="shared" si="16"/>
        <v>405828.78518838627</v>
      </c>
      <c r="W65" s="17">
        <f t="shared" si="17"/>
        <v>152225.56723899517</v>
      </c>
      <c r="Y65">
        <f>(MONTH(E65)=MONTH(Assumptions!$E$6))*(YEAR(Assumptions!$E$6)=YEAR('Rent v Mortgage'!E65))</f>
        <v>0</v>
      </c>
      <c r="Z65">
        <f>--(SUM($Y$28:Y64)&lt;1)*AA65</f>
        <v>1</v>
      </c>
      <c r="AA65">
        <f t="shared" si="18"/>
        <v>1</v>
      </c>
      <c r="AB65" s="20"/>
      <c r="AC65">
        <f t="shared" si="19"/>
        <v>37</v>
      </c>
      <c r="AD65">
        <f t="shared" si="20"/>
        <v>2028</v>
      </c>
      <c r="AE65" s="12">
        <f t="shared" si="21"/>
        <v>46966</v>
      </c>
      <c r="AG65" s="19">
        <f t="shared" si="22"/>
        <v>3842.3622213861699</v>
      </c>
      <c r="AH65" s="19">
        <f t="shared" si="23"/>
        <v>288.17716660396275</v>
      </c>
      <c r="AI65" s="19">
        <f t="shared" si="24"/>
        <v>0</v>
      </c>
      <c r="AK65" s="19">
        <f t="shared" si="25"/>
        <v>0</v>
      </c>
      <c r="AL65" s="19">
        <f ca="1">(IF(MOD(AC65,($AE$15*12)),0,$AG65-IFERROR(SUM(OFFSET(AL64,,,-$AE$15*12)),0))-SUM($AL$28:AL64)*(Z66=0))*(Z65=1)</f>
        <v>0</v>
      </c>
      <c r="AM65" s="19">
        <f t="shared" si="26"/>
        <v>0</v>
      </c>
      <c r="AN65" s="19">
        <f t="shared" si="27"/>
        <v>0</v>
      </c>
      <c r="AP65" s="19">
        <f t="shared" ca="1" si="1"/>
        <v>-4130.539387990133</v>
      </c>
      <c r="AQ65" s="18">
        <f t="shared" si="2"/>
        <v>0.87738432107508646</v>
      </c>
    </row>
    <row r="66" spans="3:43" x14ac:dyDescent="0.25">
      <c r="C66">
        <f t="shared" si="3"/>
        <v>38</v>
      </c>
      <c r="D66">
        <f t="shared" si="4"/>
        <v>3</v>
      </c>
      <c r="E66" s="12">
        <f t="shared" si="5"/>
        <v>46997</v>
      </c>
      <c r="F66" s="12"/>
      <c r="G66" s="15">
        <f t="shared" si="6"/>
        <v>426.93589948698258</v>
      </c>
      <c r="H66" s="15">
        <f t="shared" si="7"/>
        <v>2367.3345802655867</v>
      </c>
      <c r="I66" s="15"/>
      <c r="J66" s="16">
        <f t="shared" si="8"/>
        <v>656.25</v>
      </c>
      <c r="K66" s="16">
        <f t="shared" si="9"/>
        <v>328.125</v>
      </c>
      <c r="L66">
        <f t="shared" si="10"/>
        <v>0</v>
      </c>
      <c r="M66">
        <f t="shared" si="11"/>
        <v>0</v>
      </c>
      <c r="N66" s="16">
        <f t="shared" si="12"/>
        <v>520</v>
      </c>
      <c r="O66" s="16"/>
      <c r="P66" s="17">
        <f t="shared" si="13"/>
        <v>-4298.6454797525694</v>
      </c>
      <c r="Q66">
        <f>Q65/(1+Assumptions!$E$8/12)</f>
        <v>0.87428788481636177</v>
      </c>
      <c r="S66" s="17">
        <f t="shared" si="14"/>
        <v>557134.20000000112</v>
      </c>
      <c r="T66" s="17">
        <f>T65*(1+$K$24)*Z66</f>
        <v>558976.02456130565</v>
      </c>
      <c r="U66" s="17">
        <f t="shared" si="15"/>
        <v>405828.78518838627</v>
      </c>
      <c r="V66" s="17">
        <f t="shared" si="16"/>
        <v>405401.84928889928</v>
      </c>
      <c r="W66" s="17">
        <f t="shared" si="17"/>
        <v>153574.17527240637</v>
      </c>
      <c r="Y66">
        <f>(MONTH(E66)=MONTH(Assumptions!$E$6))*(YEAR(Assumptions!$E$6)=YEAR('Rent v Mortgage'!E66))</f>
        <v>0</v>
      </c>
      <c r="Z66">
        <f>--(SUM($Y$28:Y65)&lt;1)*AA66</f>
        <v>1</v>
      </c>
      <c r="AA66">
        <f t="shared" si="18"/>
        <v>1</v>
      </c>
      <c r="AB66" s="20"/>
      <c r="AC66">
        <f t="shared" si="19"/>
        <v>38</v>
      </c>
      <c r="AD66">
        <f t="shared" si="20"/>
        <v>2028</v>
      </c>
      <c r="AE66" s="12">
        <f t="shared" si="21"/>
        <v>46997</v>
      </c>
      <c r="AG66" s="19">
        <f t="shared" si="22"/>
        <v>3842.3622213861699</v>
      </c>
      <c r="AH66" s="19">
        <f t="shared" si="23"/>
        <v>288.17716660396275</v>
      </c>
      <c r="AI66" s="19">
        <f t="shared" si="24"/>
        <v>0</v>
      </c>
      <c r="AK66" s="19">
        <f t="shared" si="25"/>
        <v>0</v>
      </c>
      <c r="AL66" s="19">
        <f ca="1">(IF(MOD(AC66,($AE$15*12)),0,$AG66-IFERROR(SUM(OFFSET(AL65,,,-$AE$15*12)),0))-SUM($AL$28:AL65)*(Z67=0))*(Z66=1)</f>
        <v>0</v>
      </c>
      <c r="AM66" s="19">
        <f t="shared" si="26"/>
        <v>0</v>
      </c>
      <c r="AN66" s="19">
        <f t="shared" si="27"/>
        <v>0</v>
      </c>
      <c r="AP66" s="19">
        <f t="shared" ca="1" si="1"/>
        <v>-4130.539387990133</v>
      </c>
      <c r="AQ66" s="18">
        <f t="shared" si="2"/>
        <v>0.87428788481636177</v>
      </c>
    </row>
    <row r="67" spans="3:43" x14ac:dyDescent="0.25">
      <c r="C67">
        <f t="shared" si="3"/>
        <v>39</v>
      </c>
      <c r="D67">
        <f t="shared" si="4"/>
        <v>3</v>
      </c>
      <c r="E67" s="12">
        <f t="shared" si="5"/>
        <v>47027</v>
      </c>
      <c r="F67" s="12"/>
      <c r="G67" s="15">
        <f t="shared" si="6"/>
        <v>429.42635890065668</v>
      </c>
      <c r="H67" s="15">
        <f t="shared" si="7"/>
        <v>2364.8441208519125</v>
      </c>
      <c r="I67" s="15"/>
      <c r="J67" s="16">
        <f t="shared" si="8"/>
        <v>656.25</v>
      </c>
      <c r="K67" s="16">
        <f t="shared" si="9"/>
        <v>328.125</v>
      </c>
      <c r="L67">
        <f t="shared" si="10"/>
        <v>0</v>
      </c>
      <c r="M67">
        <f t="shared" si="11"/>
        <v>1392.8355000000029</v>
      </c>
      <c r="N67" s="16">
        <f t="shared" si="12"/>
        <v>520</v>
      </c>
      <c r="O67" s="16"/>
      <c r="P67" s="17">
        <f t="shared" si="13"/>
        <v>-5691.4809797525722</v>
      </c>
      <c r="Q67">
        <f>Q66/(1+Assumptions!$E$8/12)</f>
        <v>0.87120237639994524</v>
      </c>
      <c r="S67" s="17">
        <f t="shared" si="14"/>
        <v>557134.20000000112</v>
      </c>
      <c r="T67" s="17">
        <f>T66*(1+$K$24)*Z67</f>
        <v>559899.21891169285</v>
      </c>
      <c r="U67" s="17">
        <f t="shared" si="15"/>
        <v>405401.84928889928</v>
      </c>
      <c r="V67" s="17">
        <f t="shared" si="16"/>
        <v>404972.4229299986</v>
      </c>
      <c r="W67" s="17">
        <f t="shared" si="17"/>
        <v>154926.79598169425</v>
      </c>
      <c r="Y67">
        <f>(MONTH(E67)=MONTH(Assumptions!$E$6))*(YEAR(Assumptions!$E$6)=YEAR('Rent v Mortgage'!E67))</f>
        <v>0</v>
      </c>
      <c r="Z67">
        <f>--(SUM($Y$28:Y66)&lt;1)*AA67</f>
        <v>1</v>
      </c>
      <c r="AA67">
        <f t="shared" si="18"/>
        <v>1</v>
      </c>
      <c r="AB67" s="20"/>
      <c r="AC67">
        <f t="shared" si="19"/>
        <v>39</v>
      </c>
      <c r="AD67">
        <f t="shared" si="20"/>
        <v>2028</v>
      </c>
      <c r="AE67" s="12">
        <f t="shared" si="21"/>
        <v>47027</v>
      </c>
      <c r="AG67" s="19">
        <f t="shared" si="22"/>
        <v>3842.3622213861699</v>
      </c>
      <c r="AH67" s="19">
        <f t="shared" si="23"/>
        <v>288.17716660396275</v>
      </c>
      <c r="AI67" s="19">
        <f t="shared" si="24"/>
        <v>0</v>
      </c>
      <c r="AK67" s="19">
        <f t="shared" si="25"/>
        <v>0</v>
      </c>
      <c r="AL67" s="19">
        <f ca="1">(IF(MOD(AC67,($AE$15*12)),0,$AG67-IFERROR(SUM(OFFSET(AL66,,,-$AE$15*12)),0))-SUM($AL$28:AL66)*(Z68=0))*(Z67=1)</f>
        <v>0</v>
      </c>
      <c r="AM67" s="19">
        <f t="shared" si="26"/>
        <v>0</v>
      </c>
      <c r="AN67" s="19">
        <f t="shared" si="27"/>
        <v>0</v>
      </c>
      <c r="AP67" s="19">
        <f t="shared" ca="1" si="1"/>
        <v>-4130.539387990133</v>
      </c>
      <c r="AQ67" s="18">
        <f t="shared" si="2"/>
        <v>0.87120237639994524</v>
      </c>
    </row>
    <row r="68" spans="3:43" x14ac:dyDescent="0.25">
      <c r="C68">
        <f t="shared" si="3"/>
        <v>40</v>
      </c>
      <c r="D68">
        <f t="shared" si="4"/>
        <v>3</v>
      </c>
      <c r="E68" s="12">
        <f t="shared" si="5"/>
        <v>47058</v>
      </c>
      <c r="F68" s="12"/>
      <c r="G68" s="15">
        <f t="shared" si="6"/>
        <v>431.93134599424377</v>
      </c>
      <c r="H68" s="15">
        <f t="shared" si="7"/>
        <v>2362.3391337583257</v>
      </c>
      <c r="I68" s="15"/>
      <c r="J68" s="16">
        <f t="shared" si="8"/>
        <v>656.25</v>
      </c>
      <c r="K68" s="16">
        <f t="shared" si="9"/>
        <v>328.125</v>
      </c>
      <c r="L68">
        <f t="shared" si="10"/>
        <v>0</v>
      </c>
      <c r="M68">
        <f t="shared" si="11"/>
        <v>0</v>
      </c>
      <c r="N68" s="16">
        <f t="shared" si="12"/>
        <v>520</v>
      </c>
      <c r="O68" s="16"/>
      <c r="P68" s="17">
        <f t="shared" si="13"/>
        <v>-4298.6454797525694</v>
      </c>
      <c r="Q68">
        <f>Q67/(1+Assumptions!$E$8/12)</f>
        <v>0.86812775725965052</v>
      </c>
      <c r="S68" s="17">
        <f t="shared" si="14"/>
        <v>557134.20000000112</v>
      </c>
      <c r="T68" s="17">
        <f>T67*(1+$K$24)*Z68</f>
        <v>560823.93799260713</v>
      </c>
      <c r="U68" s="17">
        <f t="shared" si="15"/>
        <v>404972.4229299986</v>
      </c>
      <c r="V68" s="17">
        <f t="shared" si="16"/>
        <v>404540.49158400437</v>
      </c>
      <c r="W68" s="17">
        <f t="shared" si="17"/>
        <v>156283.44640860276</v>
      </c>
      <c r="Y68">
        <f>(MONTH(E68)=MONTH(Assumptions!$E$6))*(YEAR(Assumptions!$E$6)=YEAR('Rent v Mortgage'!E68))</f>
        <v>0</v>
      </c>
      <c r="Z68">
        <f>--(SUM($Y$28:Y67)&lt;1)*AA68</f>
        <v>1</v>
      </c>
      <c r="AA68">
        <f t="shared" si="18"/>
        <v>1</v>
      </c>
      <c r="AB68" s="20"/>
      <c r="AC68">
        <f t="shared" si="19"/>
        <v>40</v>
      </c>
      <c r="AD68">
        <f t="shared" si="20"/>
        <v>2028</v>
      </c>
      <c r="AE68" s="12">
        <f t="shared" si="21"/>
        <v>47058</v>
      </c>
      <c r="AG68" s="19">
        <f t="shared" si="22"/>
        <v>3842.3622213861699</v>
      </c>
      <c r="AH68" s="19">
        <f t="shared" si="23"/>
        <v>288.17716660396275</v>
      </c>
      <c r="AI68" s="19">
        <f t="shared" si="24"/>
        <v>0</v>
      </c>
      <c r="AK68" s="19">
        <f t="shared" si="25"/>
        <v>0</v>
      </c>
      <c r="AL68" s="19">
        <f ca="1">(IF(MOD(AC68,($AE$15*12)),0,$AG68-IFERROR(SUM(OFFSET(AL67,,,-$AE$15*12)),0))-SUM($AL$28:AL67)*(Z69=0))*(Z68=1)</f>
        <v>0</v>
      </c>
      <c r="AM68" s="19">
        <f t="shared" si="26"/>
        <v>0</v>
      </c>
      <c r="AN68" s="19">
        <f t="shared" si="27"/>
        <v>0</v>
      </c>
      <c r="AP68" s="19">
        <f t="shared" ca="1" si="1"/>
        <v>-4130.539387990133</v>
      </c>
      <c r="AQ68" s="18">
        <f t="shared" si="2"/>
        <v>0.86812775725965052</v>
      </c>
    </row>
    <row r="69" spans="3:43" x14ac:dyDescent="0.25">
      <c r="C69">
        <f t="shared" si="3"/>
        <v>41</v>
      </c>
      <c r="D69">
        <f t="shared" si="4"/>
        <v>3</v>
      </c>
      <c r="E69" s="12">
        <f t="shared" si="5"/>
        <v>47088</v>
      </c>
      <c r="F69" s="12"/>
      <c r="G69" s="15">
        <f t="shared" si="6"/>
        <v>434.45094551254357</v>
      </c>
      <c r="H69" s="15">
        <f t="shared" si="7"/>
        <v>2359.8195342400259</v>
      </c>
      <c r="I69" s="15"/>
      <c r="J69" s="16">
        <f t="shared" si="8"/>
        <v>656.25</v>
      </c>
      <c r="K69" s="16">
        <f t="shared" si="9"/>
        <v>328.125</v>
      </c>
      <c r="L69">
        <f t="shared" si="10"/>
        <v>0</v>
      </c>
      <c r="M69">
        <f t="shared" si="11"/>
        <v>0</v>
      </c>
      <c r="N69" s="16">
        <f t="shared" si="12"/>
        <v>520</v>
      </c>
      <c r="O69" s="16"/>
      <c r="P69" s="17">
        <f t="shared" si="13"/>
        <v>-4298.6454797525694</v>
      </c>
      <c r="Q69">
        <f>Q68/(1+Assumptions!$E$8/12)</f>
        <v>0.86506398896539793</v>
      </c>
      <c r="S69" s="17">
        <f t="shared" si="14"/>
        <v>557134.20000000112</v>
      </c>
      <c r="T69" s="17">
        <f>T68*(1+$K$24)*Z69</f>
        <v>561750.18432226498</v>
      </c>
      <c r="U69" s="17">
        <f t="shared" si="15"/>
        <v>404540.49158400437</v>
      </c>
      <c r="V69" s="17">
        <f t="shared" si="16"/>
        <v>404106.0406384918</v>
      </c>
      <c r="W69" s="17">
        <f t="shared" si="17"/>
        <v>157644.14368377317</v>
      </c>
      <c r="Y69">
        <f>(MONTH(E69)=MONTH(Assumptions!$E$6))*(YEAR(Assumptions!$E$6)=YEAR('Rent v Mortgage'!E69))</f>
        <v>0</v>
      </c>
      <c r="Z69">
        <f>--(SUM($Y$28:Y68)&lt;1)*AA69</f>
        <v>1</v>
      </c>
      <c r="AA69">
        <f t="shared" si="18"/>
        <v>1</v>
      </c>
      <c r="AB69" s="20"/>
      <c r="AC69">
        <f t="shared" si="19"/>
        <v>41</v>
      </c>
      <c r="AD69">
        <f t="shared" si="20"/>
        <v>2028</v>
      </c>
      <c r="AE69" s="12">
        <f t="shared" si="21"/>
        <v>47088</v>
      </c>
      <c r="AG69" s="19">
        <f t="shared" si="22"/>
        <v>3842.3622213861699</v>
      </c>
      <c r="AH69" s="19">
        <f t="shared" si="23"/>
        <v>288.17716660396275</v>
      </c>
      <c r="AI69" s="19">
        <f t="shared" si="24"/>
        <v>0</v>
      </c>
      <c r="AK69" s="19">
        <f t="shared" si="25"/>
        <v>0</v>
      </c>
      <c r="AL69" s="19">
        <f ca="1">(IF(MOD(AC69,($AE$15*12)),0,$AG69-IFERROR(SUM(OFFSET(AL68,,,-$AE$15*12)),0))-SUM($AL$28:AL68)*(Z70=0))*(Z69=1)</f>
        <v>0</v>
      </c>
      <c r="AM69" s="19">
        <f t="shared" si="26"/>
        <v>0</v>
      </c>
      <c r="AN69" s="19">
        <f t="shared" si="27"/>
        <v>0</v>
      </c>
      <c r="AP69" s="19">
        <f t="shared" ca="1" si="1"/>
        <v>-4130.539387990133</v>
      </c>
      <c r="AQ69" s="18">
        <f t="shared" si="2"/>
        <v>0.86506398896539793</v>
      </c>
    </row>
    <row r="70" spans="3:43" x14ac:dyDescent="0.25">
      <c r="C70">
        <f t="shared" si="3"/>
        <v>42</v>
      </c>
      <c r="D70">
        <f t="shared" si="4"/>
        <v>3</v>
      </c>
      <c r="E70" s="12">
        <f t="shared" si="5"/>
        <v>47119</v>
      </c>
      <c r="F70" s="12"/>
      <c r="G70" s="15">
        <f t="shared" si="6"/>
        <v>436.98524269469999</v>
      </c>
      <c r="H70" s="15">
        <f t="shared" si="7"/>
        <v>2357.2852370578694</v>
      </c>
      <c r="I70" s="15"/>
      <c r="J70" s="16">
        <f t="shared" si="8"/>
        <v>656.25</v>
      </c>
      <c r="K70" s="16">
        <f t="shared" si="9"/>
        <v>328.125</v>
      </c>
      <c r="L70">
        <f t="shared" si="10"/>
        <v>0</v>
      </c>
      <c r="M70">
        <f t="shared" si="11"/>
        <v>1392.8355000000029</v>
      </c>
      <c r="N70" s="16">
        <f t="shared" si="12"/>
        <v>520</v>
      </c>
      <c r="O70" s="16"/>
      <c r="P70" s="17">
        <f t="shared" si="13"/>
        <v>-5691.4809797525722</v>
      </c>
      <c r="Q70">
        <f>Q69/(1+Assumptions!$E$8/12)</f>
        <v>0.86201103322273398</v>
      </c>
      <c r="S70" s="17">
        <f t="shared" si="14"/>
        <v>557134.20000000112</v>
      </c>
      <c r="T70" s="17">
        <f>T69*(1+$K$24)*Z70</f>
        <v>562677.96042304183</v>
      </c>
      <c r="U70" s="17">
        <f t="shared" si="15"/>
        <v>404106.0406384918</v>
      </c>
      <c r="V70" s="17">
        <f t="shared" si="16"/>
        <v>403669.05539579713</v>
      </c>
      <c r="W70" s="17">
        <f t="shared" si="17"/>
        <v>159008.90502724471</v>
      </c>
      <c r="Y70">
        <f>(MONTH(E70)=MONTH(Assumptions!$E$6))*(YEAR(Assumptions!$E$6)=YEAR('Rent v Mortgage'!E70))</f>
        <v>0</v>
      </c>
      <c r="Z70">
        <f>--(SUM($Y$28:Y69)&lt;1)*AA70</f>
        <v>1</v>
      </c>
      <c r="AA70">
        <f t="shared" si="18"/>
        <v>1</v>
      </c>
      <c r="AB70" s="20"/>
      <c r="AC70">
        <f t="shared" si="19"/>
        <v>42</v>
      </c>
      <c r="AD70">
        <f t="shared" si="20"/>
        <v>2029</v>
      </c>
      <c r="AE70" s="12">
        <f t="shared" si="21"/>
        <v>47119</v>
      </c>
      <c r="AG70" s="19">
        <f t="shared" si="22"/>
        <v>3842.3622213861699</v>
      </c>
      <c r="AH70" s="19">
        <f t="shared" si="23"/>
        <v>288.17716660396275</v>
      </c>
      <c r="AI70" s="19">
        <f t="shared" si="24"/>
        <v>0</v>
      </c>
      <c r="AK70" s="19">
        <f t="shared" si="25"/>
        <v>0</v>
      </c>
      <c r="AL70" s="19">
        <f ca="1">(IF(MOD(AC70,($AE$15*12)),0,$AG70-IFERROR(SUM(OFFSET(AL69,,,-$AE$15*12)),0))-SUM($AL$28:AL69)*(Z71=0))*(Z70=1)</f>
        <v>0</v>
      </c>
      <c r="AM70" s="19">
        <f t="shared" si="26"/>
        <v>0</v>
      </c>
      <c r="AN70" s="19">
        <f t="shared" si="27"/>
        <v>0</v>
      </c>
      <c r="AP70" s="19">
        <f t="shared" ca="1" si="1"/>
        <v>-4130.539387990133</v>
      </c>
      <c r="AQ70" s="18">
        <f t="shared" si="2"/>
        <v>0.86201103322273398</v>
      </c>
    </row>
    <row r="71" spans="3:43" x14ac:dyDescent="0.25">
      <c r="C71">
        <f t="shared" si="3"/>
        <v>43</v>
      </c>
      <c r="D71">
        <f t="shared" si="4"/>
        <v>3</v>
      </c>
      <c r="E71" s="12">
        <f t="shared" si="5"/>
        <v>47150</v>
      </c>
      <c r="F71" s="12"/>
      <c r="G71" s="15">
        <f t="shared" si="6"/>
        <v>439.53432327708578</v>
      </c>
      <c r="H71" s="15">
        <f t="shared" si="7"/>
        <v>2354.7361564754838</v>
      </c>
      <c r="I71" s="15"/>
      <c r="J71" s="16">
        <f t="shared" si="8"/>
        <v>656.25</v>
      </c>
      <c r="K71" s="16">
        <f t="shared" si="9"/>
        <v>328.125</v>
      </c>
      <c r="L71">
        <f t="shared" si="10"/>
        <v>0</v>
      </c>
      <c r="M71">
        <f t="shared" si="11"/>
        <v>0</v>
      </c>
      <c r="N71" s="16">
        <f t="shared" si="12"/>
        <v>520</v>
      </c>
      <c r="O71" s="16"/>
      <c r="P71" s="17">
        <f t="shared" si="13"/>
        <v>-4298.6454797525694</v>
      </c>
      <c r="Q71">
        <f>Q70/(1+Assumptions!$E$8/12)</f>
        <v>0.85896885187235261</v>
      </c>
      <c r="S71" s="17">
        <f t="shared" si="14"/>
        <v>557134.20000000112</v>
      </c>
      <c r="T71" s="17">
        <f>T70*(1+$K$24)*Z71</f>
        <v>563607.26882147917</v>
      </c>
      <c r="U71" s="17">
        <f t="shared" si="15"/>
        <v>403669.05539579713</v>
      </c>
      <c r="V71" s="17">
        <f t="shared" si="16"/>
        <v>403229.52107252006</v>
      </c>
      <c r="W71" s="17">
        <f t="shared" si="17"/>
        <v>160377.74774895911</v>
      </c>
      <c r="Y71">
        <f>(MONTH(E71)=MONTH(Assumptions!$E$6))*(YEAR(Assumptions!$E$6)=YEAR('Rent v Mortgage'!E71))</f>
        <v>0</v>
      </c>
      <c r="Z71">
        <f>--(SUM($Y$28:Y70)&lt;1)*AA71</f>
        <v>1</v>
      </c>
      <c r="AA71">
        <f t="shared" si="18"/>
        <v>1</v>
      </c>
      <c r="AB71" s="20"/>
      <c r="AC71">
        <f t="shared" si="19"/>
        <v>43</v>
      </c>
      <c r="AD71">
        <f t="shared" si="20"/>
        <v>2029</v>
      </c>
      <c r="AE71" s="12">
        <f t="shared" si="21"/>
        <v>47150</v>
      </c>
      <c r="AG71" s="19">
        <f t="shared" si="22"/>
        <v>3842.3622213861699</v>
      </c>
      <c r="AH71" s="19">
        <f t="shared" si="23"/>
        <v>288.17716660396275</v>
      </c>
      <c r="AI71" s="19">
        <f t="shared" si="24"/>
        <v>0</v>
      </c>
      <c r="AK71" s="19">
        <f t="shared" si="25"/>
        <v>0</v>
      </c>
      <c r="AL71" s="19">
        <f ca="1">(IF(MOD(AC71,($AE$15*12)),0,$AG71-IFERROR(SUM(OFFSET(AL70,,,-$AE$15*12)),0))-SUM($AL$28:AL70)*(Z72=0))*(Z71=1)</f>
        <v>0</v>
      </c>
      <c r="AM71" s="19">
        <f t="shared" si="26"/>
        <v>0</v>
      </c>
      <c r="AN71" s="19">
        <f t="shared" si="27"/>
        <v>0</v>
      </c>
      <c r="AP71" s="19">
        <f t="shared" ca="1" si="1"/>
        <v>-4130.539387990133</v>
      </c>
      <c r="AQ71" s="18">
        <f t="shared" si="2"/>
        <v>0.85896885187235261</v>
      </c>
    </row>
    <row r="72" spans="3:43" x14ac:dyDescent="0.25">
      <c r="C72">
        <f t="shared" si="3"/>
        <v>44</v>
      </c>
      <c r="D72">
        <f t="shared" si="4"/>
        <v>3</v>
      </c>
      <c r="E72" s="12">
        <f t="shared" si="5"/>
        <v>47178</v>
      </c>
      <c r="F72" s="12"/>
      <c r="G72" s="15">
        <f t="shared" si="6"/>
        <v>442.09827349620218</v>
      </c>
      <c r="H72" s="15">
        <f t="shared" si="7"/>
        <v>2352.1722062563672</v>
      </c>
      <c r="I72" s="15"/>
      <c r="J72" s="16">
        <f t="shared" si="8"/>
        <v>656.25</v>
      </c>
      <c r="K72" s="16">
        <f t="shared" si="9"/>
        <v>328.125</v>
      </c>
      <c r="L72">
        <f t="shared" si="10"/>
        <v>0</v>
      </c>
      <c r="M72">
        <f t="shared" si="11"/>
        <v>0</v>
      </c>
      <c r="N72" s="16">
        <f t="shared" si="12"/>
        <v>520</v>
      </c>
      <c r="O72" s="16"/>
      <c r="P72" s="17">
        <f t="shared" si="13"/>
        <v>-4298.6454797525694</v>
      </c>
      <c r="Q72">
        <f>Q71/(1+Assumptions!$E$8/12)</f>
        <v>0.8559374068896185</v>
      </c>
      <c r="S72" s="17">
        <f t="shared" si="14"/>
        <v>557134.20000000112</v>
      </c>
      <c r="T72" s="17">
        <f>T71*(1+$K$24)*Z72</f>
        <v>564538.11204829102</v>
      </c>
      <c r="U72" s="17">
        <f t="shared" si="15"/>
        <v>403229.52107252006</v>
      </c>
      <c r="V72" s="17">
        <f t="shared" si="16"/>
        <v>402787.42279902386</v>
      </c>
      <c r="W72" s="17">
        <f t="shared" si="17"/>
        <v>161750.68924926716</v>
      </c>
      <c r="Y72">
        <f>(MONTH(E72)=MONTH(Assumptions!$E$6))*(YEAR(Assumptions!$E$6)=YEAR('Rent v Mortgage'!E72))</f>
        <v>0</v>
      </c>
      <c r="Z72">
        <f>--(SUM($Y$28:Y71)&lt;1)*AA72</f>
        <v>1</v>
      </c>
      <c r="AA72">
        <f t="shared" si="18"/>
        <v>1</v>
      </c>
      <c r="AB72" s="20"/>
      <c r="AC72">
        <f t="shared" si="19"/>
        <v>44</v>
      </c>
      <c r="AD72">
        <f t="shared" si="20"/>
        <v>2029</v>
      </c>
      <c r="AE72" s="12">
        <f t="shared" si="21"/>
        <v>47178</v>
      </c>
      <c r="AG72" s="19">
        <f t="shared" si="22"/>
        <v>3842.3622213861699</v>
      </c>
      <c r="AH72" s="19">
        <f t="shared" si="23"/>
        <v>288.17716660396275</v>
      </c>
      <c r="AI72" s="19">
        <f t="shared" si="24"/>
        <v>0</v>
      </c>
      <c r="AK72" s="19">
        <f t="shared" si="25"/>
        <v>0</v>
      </c>
      <c r="AL72" s="19">
        <f ca="1">(IF(MOD(AC72,($AE$15*12)),0,$AG72-IFERROR(SUM(OFFSET(AL71,,,-$AE$15*12)),0))-SUM($AL$28:AL71)*(Z73=0))*(Z72=1)</f>
        <v>0</v>
      </c>
      <c r="AM72" s="19">
        <f t="shared" si="26"/>
        <v>0</v>
      </c>
      <c r="AN72" s="19">
        <f t="shared" si="27"/>
        <v>0</v>
      </c>
      <c r="AP72" s="19">
        <f t="shared" ca="1" si="1"/>
        <v>-4130.539387990133</v>
      </c>
      <c r="AQ72" s="18">
        <f t="shared" si="2"/>
        <v>0.8559374068896185</v>
      </c>
    </row>
    <row r="73" spans="3:43" x14ac:dyDescent="0.25">
      <c r="C73">
        <f t="shared" si="3"/>
        <v>45</v>
      </c>
      <c r="D73">
        <f t="shared" si="4"/>
        <v>3</v>
      </c>
      <c r="E73" s="12">
        <f t="shared" si="5"/>
        <v>47209</v>
      </c>
      <c r="F73" s="12"/>
      <c r="G73" s="15">
        <f t="shared" si="6"/>
        <v>444.6771800915966</v>
      </c>
      <c r="H73" s="15">
        <f t="shared" si="7"/>
        <v>2349.5932996609727</v>
      </c>
      <c r="I73" s="15"/>
      <c r="J73" s="16">
        <f t="shared" si="8"/>
        <v>656.25</v>
      </c>
      <c r="K73" s="16">
        <f t="shared" si="9"/>
        <v>328.125</v>
      </c>
      <c r="L73">
        <f t="shared" si="10"/>
        <v>0</v>
      </c>
      <c r="M73">
        <f t="shared" si="11"/>
        <v>1392.8355000000029</v>
      </c>
      <c r="N73" s="16">
        <f t="shared" si="12"/>
        <v>520</v>
      </c>
      <c r="O73" s="16"/>
      <c r="P73" s="17">
        <f t="shared" si="13"/>
        <v>-5691.4809797525722</v>
      </c>
      <c r="Q73">
        <f>Q72/(1+Assumptions!$E$8/12)</f>
        <v>0.85291666038409142</v>
      </c>
      <c r="S73" s="17">
        <f t="shared" si="14"/>
        <v>557134.20000000112</v>
      </c>
      <c r="T73" s="17">
        <f>T72*(1+$K$24)*Z73</f>
        <v>565470.4926383713</v>
      </c>
      <c r="U73" s="17">
        <f t="shared" si="15"/>
        <v>402787.42279902386</v>
      </c>
      <c r="V73" s="17">
        <f t="shared" si="16"/>
        <v>402342.74561893224</v>
      </c>
      <c r="W73" s="17">
        <f t="shared" si="17"/>
        <v>163127.74701943906</v>
      </c>
      <c r="Y73">
        <f>(MONTH(E73)=MONTH(Assumptions!$E$6))*(YEAR(Assumptions!$E$6)=YEAR('Rent v Mortgage'!E73))</f>
        <v>0</v>
      </c>
      <c r="Z73">
        <f>--(SUM($Y$28:Y72)&lt;1)*AA73</f>
        <v>1</v>
      </c>
      <c r="AA73">
        <f t="shared" si="18"/>
        <v>1</v>
      </c>
      <c r="AB73" s="20"/>
      <c r="AC73">
        <f t="shared" si="19"/>
        <v>45</v>
      </c>
      <c r="AD73">
        <f t="shared" si="20"/>
        <v>2029</v>
      </c>
      <c r="AE73" s="12">
        <f t="shared" si="21"/>
        <v>47209</v>
      </c>
      <c r="AG73" s="19">
        <f t="shared" si="22"/>
        <v>3842.3622213861699</v>
      </c>
      <c r="AH73" s="19">
        <f t="shared" si="23"/>
        <v>288.17716660396275</v>
      </c>
      <c r="AI73" s="19">
        <f t="shared" si="24"/>
        <v>0</v>
      </c>
      <c r="AK73" s="19">
        <f t="shared" si="25"/>
        <v>0</v>
      </c>
      <c r="AL73" s="19">
        <f ca="1">(IF(MOD(AC73,($AE$15*12)),0,$AG73-IFERROR(SUM(OFFSET(AL72,,,-$AE$15*12)),0))-SUM($AL$28:AL72)*(Z74=0))*(Z73=1)</f>
        <v>0</v>
      </c>
      <c r="AM73" s="19">
        <f t="shared" si="26"/>
        <v>0</v>
      </c>
      <c r="AN73" s="19">
        <f t="shared" si="27"/>
        <v>0</v>
      </c>
      <c r="AP73" s="19">
        <f t="shared" ca="1" si="1"/>
        <v>-4130.539387990133</v>
      </c>
      <c r="AQ73" s="18">
        <f t="shared" si="2"/>
        <v>0.85291666038409142</v>
      </c>
    </row>
    <row r="74" spans="3:43" x14ac:dyDescent="0.25">
      <c r="C74">
        <f t="shared" si="3"/>
        <v>46</v>
      </c>
      <c r="D74">
        <f t="shared" si="4"/>
        <v>3</v>
      </c>
      <c r="E74" s="12">
        <f t="shared" si="5"/>
        <v>47239</v>
      </c>
      <c r="F74" s="12"/>
      <c r="G74" s="15">
        <f t="shared" si="6"/>
        <v>447.27113030879764</v>
      </c>
      <c r="H74" s="15">
        <f t="shared" si="7"/>
        <v>2346.9993494437717</v>
      </c>
      <c r="I74" s="15"/>
      <c r="J74" s="16">
        <f t="shared" si="8"/>
        <v>656.25</v>
      </c>
      <c r="K74" s="16">
        <f t="shared" si="9"/>
        <v>328.125</v>
      </c>
      <c r="L74">
        <f t="shared" si="10"/>
        <v>0</v>
      </c>
      <c r="M74">
        <f t="shared" si="11"/>
        <v>0</v>
      </c>
      <c r="N74" s="16">
        <f t="shared" si="12"/>
        <v>520</v>
      </c>
      <c r="O74" s="16"/>
      <c r="P74" s="17">
        <f t="shared" si="13"/>
        <v>-4298.6454797525694</v>
      </c>
      <c r="Q74">
        <f>Q73/(1+Assumptions!$E$8/12)</f>
        <v>0.84990657459905306</v>
      </c>
      <c r="S74" s="17">
        <f t="shared" si="14"/>
        <v>557134.20000000112</v>
      </c>
      <c r="T74" s="17">
        <f>T73*(1+$K$24)*Z74</f>
        <v>566404.41313080047</v>
      </c>
      <c r="U74" s="17">
        <f t="shared" si="15"/>
        <v>402342.74561893224</v>
      </c>
      <c r="V74" s="17">
        <f t="shared" si="16"/>
        <v>401895.47448862344</v>
      </c>
      <c r="W74" s="17">
        <f t="shared" si="17"/>
        <v>164508.93864217703</v>
      </c>
      <c r="Y74">
        <f>(MONTH(E74)=MONTH(Assumptions!$E$6))*(YEAR(Assumptions!$E$6)=YEAR('Rent v Mortgage'!E74))</f>
        <v>0</v>
      </c>
      <c r="Z74">
        <f>--(SUM($Y$28:Y73)&lt;1)*AA74</f>
        <v>1</v>
      </c>
      <c r="AA74">
        <f t="shared" si="18"/>
        <v>1</v>
      </c>
      <c r="AB74" s="20"/>
      <c r="AC74">
        <f t="shared" si="19"/>
        <v>46</v>
      </c>
      <c r="AD74">
        <f t="shared" si="20"/>
        <v>2029</v>
      </c>
      <c r="AE74" s="12">
        <f t="shared" si="21"/>
        <v>47239</v>
      </c>
      <c r="AG74" s="19">
        <f t="shared" si="22"/>
        <v>3842.3622213861699</v>
      </c>
      <c r="AH74" s="19">
        <f t="shared" si="23"/>
        <v>288.17716660396275</v>
      </c>
      <c r="AI74" s="19">
        <f t="shared" si="24"/>
        <v>0</v>
      </c>
      <c r="AK74" s="19">
        <f t="shared" si="25"/>
        <v>0</v>
      </c>
      <c r="AL74" s="19">
        <f ca="1">(IF(MOD(AC74,($AE$15*12)),0,$AG74-IFERROR(SUM(OFFSET(AL73,,,-$AE$15*12)),0))-SUM($AL$28:AL73)*(Z75=0))*(Z74=1)</f>
        <v>0</v>
      </c>
      <c r="AM74" s="19">
        <f t="shared" si="26"/>
        <v>0</v>
      </c>
      <c r="AN74" s="19">
        <f t="shared" si="27"/>
        <v>0</v>
      </c>
      <c r="AP74" s="19">
        <f t="shared" ca="1" si="1"/>
        <v>-4130.539387990133</v>
      </c>
      <c r="AQ74" s="18">
        <f t="shared" si="2"/>
        <v>0.84990657459905306</v>
      </c>
    </row>
    <row r="75" spans="3:43" x14ac:dyDescent="0.25">
      <c r="C75">
        <f t="shared" si="3"/>
        <v>47</v>
      </c>
      <c r="D75">
        <f t="shared" si="4"/>
        <v>3</v>
      </c>
      <c r="E75" s="12">
        <f t="shared" si="5"/>
        <v>47270</v>
      </c>
      <c r="F75" s="12"/>
      <c r="G75" s="15">
        <f t="shared" si="6"/>
        <v>449.88021190226556</v>
      </c>
      <c r="H75" s="15">
        <f t="shared" si="7"/>
        <v>2344.3902678503036</v>
      </c>
      <c r="I75" s="15"/>
      <c r="J75" s="16">
        <f t="shared" si="8"/>
        <v>656.25</v>
      </c>
      <c r="K75" s="16">
        <f t="shared" si="9"/>
        <v>328.125</v>
      </c>
      <c r="L75">
        <f t="shared" si="10"/>
        <v>0</v>
      </c>
      <c r="M75">
        <f t="shared" si="11"/>
        <v>0</v>
      </c>
      <c r="N75" s="16">
        <f t="shared" si="12"/>
        <v>520</v>
      </c>
      <c r="O75" s="16"/>
      <c r="P75" s="17">
        <f t="shared" si="13"/>
        <v>-4298.6454797525694</v>
      </c>
      <c r="Q75">
        <f>Q74/(1+Assumptions!$E$8/12)</f>
        <v>0.84690711191103474</v>
      </c>
      <c r="S75" s="17">
        <f t="shared" si="14"/>
        <v>557134.20000000112</v>
      </c>
      <c r="T75" s="17">
        <f>T74*(1+$K$24)*Z75</f>
        <v>567339.87606885238</v>
      </c>
      <c r="U75" s="17">
        <f t="shared" si="15"/>
        <v>401895.47448862344</v>
      </c>
      <c r="V75" s="17">
        <f t="shared" si="16"/>
        <v>401445.59427672118</v>
      </c>
      <c r="W75" s="17">
        <f t="shared" si="17"/>
        <v>165894.28179213119</v>
      </c>
      <c r="Y75">
        <f>(MONTH(E75)=MONTH(Assumptions!$E$6))*(YEAR(Assumptions!$E$6)=YEAR('Rent v Mortgage'!E75))</f>
        <v>0</v>
      </c>
      <c r="Z75">
        <f>--(SUM($Y$28:Y74)&lt;1)*AA75</f>
        <v>1</v>
      </c>
      <c r="AA75">
        <f t="shared" si="18"/>
        <v>1</v>
      </c>
      <c r="AB75" s="20"/>
      <c r="AC75">
        <f t="shared" si="19"/>
        <v>47</v>
      </c>
      <c r="AD75">
        <f t="shared" si="20"/>
        <v>2029</v>
      </c>
      <c r="AE75" s="12">
        <f t="shared" si="21"/>
        <v>47270</v>
      </c>
      <c r="AG75" s="19">
        <f t="shared" si="22"/>
        <v>3842.3622213861699</v>
      </c>
      <c r="AH75" s="19">
        <f t="shared" si="23"/>
        <v>288.17716660396275</v>
      </c>
      <c r="AI75" s="19">
        <f t="shared" si="24"/>
        <v>0</v>
      </c>
      <c r="AK75" s="19">
        <f t="shared" si="25"/>
        <v>0</v>
      </c>
      <c r="AL75" s="19">
        <f ca="1">(IF(MOD(AC75,($AE$15*12)),0,$AG75-IFERROR(SUM(OFFSET(AL74,,,-$AE$15*12)),0))-SUM($AL$28:AL74)*(Z76=0))*(Z75=1)</f>
        <v>0</v>
      </c>
      <c r="AM75" s="19">
        <f t="shared" si="26"/>
        <v>0</v>
      </c>
      <c r="AN75" s="19">
        <f t="shared" si="27"/>
        <v>0</v>
      </c>
      <c r="AP75" s="19">
        <f t="shared" ca="1" si="1"/>
        <v>-4130.539387990133</v>
      </c>
      <c r="AQ75" s="18">
        <f t="shared" si="2"/>
        <v>0.84690711191103474</v>
      </c>
    </row>
    <row r="76" spans="3:43" x14ac:dyDescent="0.25">
      <c r="C76">
        <f t="shared" si="3"/>
        <v>48</v>
      </c>
      <c r="D76">
        <f t="shared" si="4"/>
        <v>4</v>
      </c>
      <c r="E76" s="12">
        <f t="shared" si="5"/>
        <v>47300</v>
      </c>
      <c r="F76" s="12"/>
      <c r="G76" s="15">
        <f t="shared" si="6"/>
        <v>452.50451313836214</v>
      </c>
      <c r="H76" s="15">
        <f t="shared" si="7"/>
        <v>2341.7659666142072</v>
      </c>
      <c r="I76" s="15"/>
      <c r="J76" s="16">
        <f t="shared" si="8"/>
        <v>656.25</v>
      </c>
      <c r="K76" s="16">
        <f t="shared" si="9"/>
        <v>328.125</v>
      </c>
      <c r="L76">
        <f t="shared" si="10"/>
        <v>568.27688400000147</v>
      </c>
      <c r="M76">
        <f t="shared" si="11"/>
        <v>1420.6922100000038</v>
      </c>
      <c r="N76" s="16">
        <f t="shared" si="12"/>
        <v>520</v>
      </c>
      <c r="O76" s="16"/>
      <c r="P76" s="17">
        <f t="shared" si="13"/>
        <v>-6287.6145737525749</v>
      </c>
      <c r="Q76">
        <f>Q75/(1+Assumptions!$E$8/12)</f>
        <v>0.84391823482934736</v>
      </c>
      <c r="S76" s="17">
        <f t="shared" si="14"/>
        <v>568276.88400000148</v>
      </c>
      <c r="T76" s="17">
        <f>T75*(1+$K$24)*Z76</f>
        <v>568276.88400000148</v>
      </c>
      <c r="U76" s="17">
        <f t="shared" si="15"/>
        <v>401445.59427672118</v>
      </c>
      <c r="V76" s="17">
        <f t="shared" si="16"/>
        <v>400993.0897635828</v>
      </c>
      <c r="W76" s="17">
        <f t="shared" si="17"/>
        <v>167283.79423641867</v>
      </c>
      <c r="Y76">
        <f>(MONTH(E76)=MONTH(Assumptions!$E$6))*(YEAR(Assumptions!$E$6)=YEAR('Rent v Mortgage'!E76))</f>
        <v>0</v>
      </c>
      <c r="Z76">
        <f>--(SUM($Y$28:Y75)&lt;1)*AA76</f>
        <v>1</v>
      </c>
      <c r="AA76">
        <f t="shared" si="18"/>
        <v>1</v>
      </c>
      <c r="AB76" s="20"/>
      <c r="AC76">
        <f t="shared" si="19"/>
        <v>48</v>
      </c>
      <c r="AD76">
        <f t="shared" si="20"/>
        <v>2029</v>
      </c>
      <c r="AE76" s="12">
        <f t="shared" si="21"/>
        <v>47300</v>
      </c>
      <c r="AG76" s="19">
        <f t="shared" si="22"/>
        <v>3996.0567102416171</v>
      </c>
      <c r="AH76" s="19">
        <f t="shared" si="23"/>
        <v>288.17716660396275</v>
      </c>
      <c r="AI76" s="19">
        <f t="shared" si="24"/>
        <v>225</v>
      </c>
      <c r="AK76" s="19">
        <f t="shared" si="25"/>
        <v>0</v>
      </c>
      <c r="AL76" s="19">
        <f ca="1">(IF(MOD(AC76,($AE$15*12)),0,$AG76-IFERROR(SUM(OFFSET(AL75,,,-$AE$15*12)),0))-SUM($AL$28:AL75)*(Z77=0))*(Z76=1)</f>
        <v>0</v>
      </c>
      <c r="AM76" s="19">
        <f t="shared" si="26"/>
        <v>0</v>
      </c>
      <c r="AN76" s="19">
        <f t="shared" si="27"/>
        <v>0</v>
      </c>
      <c r="AP76" s="19">
        <f t="shared" ca="1" si="1"/>
        <v>-4509.2338768455802</v>
      </c>
      <c r="AQ76" s="18">
        <f t="shared" si="2"/>
        <v>0.84391823482934736</v>
      </c>
    </row>
    <row r="77" spans="3:43" x14ac:dyDescent="0.25">
      <c r="C77">
        <f t="shared" si="3"/>
        <v>49</v>
      </c>
      <c r="D77">
        <f t="shared" si="4"/>
        <v>4</v>
      </c>
      <c r="E77" s="12">
        <f t="shared" si="5"/>
        <v>47331</v>
      </c>
      <c r="F77" s="12"/>
      <c r="G77" s="15">
        <f t="shared" si="6"/>
        <v>455.14412279833601</v>
      </c>
      <c r="H77" s="15">
        <f t="shared" si="7"/>
        <v>2339.1263569542334</v>
      </c>
      <c r="I77" s="15"/>
      <c r="J77" s="16">
        <f t="shared" si="8"/>
        <v>656.25</v>
      </c>
      <c r="K77" s="16">
        <f t="shared" si="9"/>
        <v>328.125</v>
      </c>
      <c r="L77">
        <f t="shared" si="10"/>
        <v>0</v>
      </c>
      <c r="M77">
        <f t="shared" si="11"/>
        <v>0</v>
      </c>
      <c r="N77" s="16">
        <f t="shared" si="12"/>
        <v>520</v>
      </c>
      <c r="O77" s="16"/>
      <c r="P77" s="17">
        <f t="shared" si="13"/>
        <v>-4298.6454797525694</v>
      </c>
      <c r="Q77">
        <f>Q76/(1+Assumptions!$E$8/12)</f>
        <v>0.84093990599561286</v>
      </c>
      <c r="S77" s="17">
        <f t="shared" si="14"/>
        <v>568276.88400000148</v>
      </c>
      <c r="T77" s="17">
        <f>T76*(1+$K$24)*Z77</f>
        <v>569215.43947592936</v>
      </c>
      <c r="U77" s="17">
        <f t="shared" si="15"/>
        <v>400993.0897635828</v>
      </c>
      <c r="V77" s="17">
        <f t="shared" si="16"/>
        <v>400537.94564078446</v>
      </c>
      <c r="W77" s="17">
        <f t="shared" si="17"/>
        <v>168677.49383514491</v>
      </c>
      <c r="Y77">
        <f>(MONTH(E77)=MONTH(Assumptions!$E$6))*(YEAR(Assumptions!$E$6)=YEAR('Rent v Mortgage'!E77))</f>
        <v>0</v>
      </c>
      <c r="Z77">
        <f>--(SUM($Y$28:Y76)&lt;1)*AA77</f>
        <v>1</v>
      </c>
      <c r="AA77">
        <f t="shared" si="18"/>
        <v>1</v>
      </c>
      <c r="AB77" s="20"/>
      <c r="AC77">
        <f t="shared" si="19"/>
        <v>49</v>
      </c>
      <c r="AD77">
        <f t="shared" si="20"/>
        <v>2029</v>
      </c>
      <c r="AE77" s="12">
        <f t="shared" si="21"/>
        <v>47331</v>
      </c>
      <c r="AG77" s="19">
        <f t="shared" si="22"/>
        <v>3996.0567102416171</v>
      </c>
      <c r="AH77" s="19">
        <f t="shared" si="23"/>
        <v>299.70425326812125</v>
      </c>
      <c r="AI77" s="19">
        <f t="shared" si="24"/>
        <v>0</v>
      </c>
      <c r="AK77" s="19">
        <f t="shared" si="25"/>
        <v>0</v>
      </c>
      <c r="AL77" s="19">
        <f ca="1">(IF(MOD(AC77,($AE$15*12)),0,$AG77-IFERROR(SUM(OFFSET(AL76,,,-$AE$15*12)),0))-SUM($AL$28:AL76)*(Z78=0))*(Z77=1)</f>
        <v>0</v>
      </c>
      <c r="AM77" s="19">
        <f t="shared" si="26"/>
        <v>0</v>
      </c>
      <c r="AN77" s="19">
        <f t="shared" si="27"/>
        <v>0</v>
      </c>
      <c r="AP77" s="19">
        <f t="shared" ca="1" si="1"/>
        <v>-4295.7609635097388</v>
      </c>
      <c r="AQ77" s="18">
        <f t="shared" si="2"/>
        <v>0.84093990599561286</v>
      </c>
    </row>
    <row r="78" spans="3:43" x14ac:dyDescent="0.25">
      <c r="C78">
        <f t="shared" si="3"/>
        <v>50</v>
      </c>
      <c r="D78">
        <f t="shared" si="4"/>
        <v>4</v>
      </c>
      <c r="E78" s="12">
        <f t="shared" si="5"/>
        <v>47362</v>
      </c>
      <c r="F78" s="12"/>
      <c r="G78" s="15">
        <f t="shared" si="6"/>
        <v>457.79913018132618</v>
      </c>
      <c r="H78" s="15">
        <f t="shared" si="7"/>
        <v>2336.4713495712431</v>
      </c>
      <c r="I78" s="15"/>
      <c r="J78" s="16">
        <f t="shared" si="8"/>
        <v>656.25</v>
      </c>
      <c r="K78" s="16">
        <f t="shared" si="9"/>
        <v>328.125</v>
      </c>
      <c r="L78">
        <f t="shared" si="10"/>
        <v>0</v>
      </c>
      <c r="M78">
        <f t="shared" si="11"/>
        <v>0</v>
      </c>
      <c r="N78" s="16">
        <f t="shared" si="12"/>
        <v>520</v>
      </c>
      <c r="O78" s="16"/>
      <c r="P78" s="17">
        <f t="shared" si="13"/>
        <v>-4298.6454797525694</v>
      </c>
      <c r="Q78">
        <f>Q77/(1+Assumptions!$E$8/12)</f>
        <v>0.83797208818329694</v>
      </c>
      <c r="S78" s="17">
        <f t="shared" si="14"/>
        <v>568276.88400000148</v>
      </c>
      <c r="T78" s="17">
        <f>T77*(1+$K$24)*Z78</f>
        <v>570155.54505253211</v>
      </c>
      <c r="U78" s="17">
        <f t="shared" si="15"/>
        <v>400537.94564078446</v>
      </c>
      <c r="V78" s="17">
        <f t="shared" si="16"/>
        <v>400080.14651060314</v>
      </c>
      <c r="W78" s="17">
        <f t="shared" si="17"/>
        <v>170075.39854192897</v>
      </c>
      <c r="Y78">
        <f>(MONTH(E78)=MONTH(Assumptions!$E$6))*(YEAR(Assumptions!$E$6)=YEAR('Rent v Mortgage'!E78))</f>
        <v>0</v>
      </c>
      <c r="Z78">
        <f>--(SUM($Y$28:Y77)&lt;1)*AA78</f>
        <v>1</v>
      </c>
      <c r="AA78">
        <f t="shared" si="18"/>
        <v>1</v>
      </c>
      <c r="AB78" s="20"/>
      <c r="AC78">
        <f t="shared" si="19"/>
        <v>50</v>
      </c>
      <c r="AD78">
        <f t="shared" si="20"/>
        <v>2029</v>
      </c>
      <c r="AE78" s="12">
        <f t="shared" si="21"/>
        <v>47362</v>
      </c>
      <c r="AG78" s="19">
        <f t="shared" si="22"/>
        <v>3996.0567102416171</v>
      </c>
      <c r="AH78" s="19">
        <f t="shared" si="23"/>
        <v>299.70425326812125</v>
      </c>
      <c r="AI78" s="19">
        <f t="shared" si="24"/>
        <v>0</v>
      </c>
      <c r="AK78" s="19">
        <f t="shared" si="25"/>
        <v>0</v>
      </c>
      <c r="AL78" s="19">
        <f ca="1">(IF(MOD(AC78,($AE$15*12)),0,$AG78-IFERROR(SUM(OFFSET(AL77,,,-$AE$15*12)),0))-SUM($AL$28:AL77)*(Z79=0))*(Z78=1)</f>
        <v>0</v>
      </c>
      <c r="AM78" s="19">
        <f t="shared" si="26"/>
        <v>0</v>
      </c>
      <c r="AN78" s="19">
        <f t="shared" si="27"/>
        <v>0</v>
      </c>
      <c r="AP78" s="19">
        <f t="shared" ca="1" si="1"/>
        <v>-4295.7609635097388</v>
      </c>
      <c r="AQ78" s="18">
        <f t="shared" si="2"/>
        <v>0.83797208818329694</v>
      </c>
    </row>
    <row r="79" spans="3:43" x14ac:dyDescent="0.25">
      <c r="C79">
        <f t="shared" si="3"/>
        <v>51</v>
      </c>
      <c r="D79">
        <f t="shared" si="4"/>
        <v>4</v>
      </c>
      <c r="E79" s="12">
        <f t="shared" si="5"/>
        <v>47392</v>
      </c>
      <c r="F79" s="12"/>
      <c r="G79" s="15">
        <f t="shared" si="6"/>
        <v>460.46962510738399</v>
      </c>
      <c r="H79" s="15">
        <f t="shared" si="7"/>
        <v>2333.8008546451856</v>
      </c>
      <c r="I79" s="15"/>
      <c r="J79" s="16">
        <f t="shared" si="8"/>
        <v>656.25</v>
      </c>
      <c r="K79" s="16">
        <f t="shared" si="9"/>
        <v>328.125</v>
      </c>
      <c r="L79">
        <f t="shared" si="10"/>
        <v>0</v>
      </c>
      <c r="M79">
        <f t="shared" si="11"/>
        <v>1420.6922100000038</v>
      </c>
      <c r="N79" s="16">
        <f t="shared" si="12"/>
        <v>520</v>
      </c>
      <c r="O79" s="16"/>
      <c r="P79" s="17">
        <f t="shared" si="13"/>
        <v>-5719.3376897525732</v>
      </c>
      <c r="Q79">
        <f>Q78/(1+Assumptions!$E$8/12)</f>
        <v>0.83501474429724409</v>
      </c>
      <c r="S79" s="17">
        <f t="shared" si="14"/>
        <v>568276.88400000148</v>
      </c>
      <c r="T79" s="17">
        <f>T78*(1+$K$24)*Z79</f>
        <v>571097.20328992698</v>
      </c>
      <c r="U79" s="17">
        <f t="shared" si="15"/>
        <v>400080.14651060314</v>
      </c>
      <c r="V79" s="17">
        <f t="shared" si="16"/>
        <v>399619.67688549578</v>
      </c>
      <c r="W79" s="17">
        <f t="shared" si="17"/>
        <v>171477.52640443121</v>
      </c>
      <c r="Y79">
        <f>(MONTH(E79)=MONTH(Assumptions!$E$6))*(YEAR(Assumptions!$E$6)=YEAR('Rent v Mortgage'!E79))</f>
        <v>0</v>
      </c>
      <c r="Z79">
        <f>--(SUM($Y$28:Y78)&lt;1)*AA79</f>
        <v>1</v>
      </c>
      <c r="AA79">
        <f t="shared" si="18"/>
        <v>1</v>
      </c>
      <c r="AB79" s="20"/>
      <c r="AC79">
        <f t="shared" si="19"/>
        <v>51</v>
      </c>
      <c r="AD79">
        <f t="shared" si="20"/>
        <v>2029</v>
      </c>
      <c r="AE79" s="12">
        <f t="shared" si="21"/>
        <v>47392</v>
      </c>
      <c r="AG79" s="19">
        <f t="shared" si="22"/>
        <v>3996.0567102416171</v>
      </c>
      <c r="AH79" s="19">
        <f t="shared" si="23"/>
        <v>299.70425326812125</v>
      </c>
      <c r="AI79" s="19">
        <f t="shared" si="24"/>
        <v>0</v>
      </c>
      <c r="AK79" s="19">
        <f t="shared" si="25"/>
        <v>0</v>
      </c>
      <c r="AL79" s="19">
        <f ca="1">(IF(MOD(AC79,($AE$15*12)),0,$AG79-IFERROR(SUM(OFFSET(AL78,,,-$AE$15*12)),0))-SUM($AL$28:AL78)*(Z80=0))*(Z79=1)</f>
        <v>0</v>
      </c>
      <c r="AM79" s="19">
        <f t="shared" si="26"/>
        <v>0</v>
      </c>
      <c r="AN79" s="19">
        <f t="shared" si="27"/>
        <v>0</v>
      </c>
      <c r="AP79" s="19">
        <f t="shared" ca="1" si="1"/>
        <v>-4295.7609635097388</v>
      </c>
      <c r="AQ79" s="18">
        <f t="shared" si="2"/>
        <v>0.83501474429724409</v>
      </c>
    </row>
    <row r="80" spans="3:43" x14ac:dyDescent="0.25">
      <c r="C80">
        <f t="shared" si="3"/>
        <v>52</v>
      </c>
      <c r="D80">
        <f t="shared" si="4"/>
        <v>4</v>
      </c>
      <c r="E80" s="12">
        <f t="shared" si="5"/>
        <v>47423</v>
      </c>
      <c r="F80" s="12"/>
      <c r="G80" s="15">
        <f t="shared" si="6"/>
        <v>463.15569792051031</v>
      </c>
      <c r="H80" s="15">
        <f t="shared" si="7"/>
        <v>2331.1147818320592</v>
      </c>
      <c r="I80" s="15"/>
      <c r="J80" s="16">
        <f t="shared" si="8"/>
        <v>656.25</v>
      </c>
      <c r="K80" s="16">
        <f t="shared" si="9"/>
        <v>328.125</v>
      </c>
      <c r="L80">
        <f t="shared" si="10"/>
        <v>0</v>
      </c>
      <c r="M80">
        <f t="shared" si="11"/>
        <v>0</v>
      </c>
      <c r="N80" s="16">
        <f t="shared" si="12"/>
        <v>520</v>
      </c>
      <c r="O80" s="16"/>
      <c r="P80" s="17">
        <f t="shared" si="13"/>
        <v>-4298.6454797525694</v>
      </c>
      <c r="Q80">
        <f>Q79/(1+Assumptions!$E$8/12)</f>
        <v>0.83206783737321388</v>
      </c>
      <c r="S80" s="17">
        <f t="shared" si="14"/>
        <v>568276.88400000148</v>
      </c>
      <c r="T80" s="17">
        <f>T79*(1+$K$24)*Z80</f>
        <v>572040.4167524596</v>
      </c>
      <c r="U80" s="17">
        <f t="shared" si="15"/>
        <v>399619.67688549578</v>
      </c>
      <c r="V80" s="17">
        <f t="shared" si="16"/>
        <v>399156.52118757524</v>
      </c>
      <c r="W80" s="17">
        <f t="shared" si="17"/>
        <v>172883.89556488435</v>
      </c>
      <c r="Y80">
        <f>(MONTH(E80)=MONTH(Assumptions!$E$6))*(YEAR(Assumptions!$E$6)=YEAR('Rent v Mortgage'!E80))</f>
        <v>0</v>
      </c>
      <c r="Z80">
        <f>--(SUM($Y$28:Y79)&lt;1)*AA80</f>
        <v>1</v>
      </c>
      <c r="AA80">
        <f t="shared" si="18"/>
        <v>1</v>
      </c>
      <c r="AB80" s="20"/>
      <c r="AC80">
        <f t="shared" si="19"/>
        <v>52</v>
      </c>
      <c r="AD80">
        <f t="shared" si="20"/>
        <v>2029</v>
      </c>
      <c r="AE80" s="12">
        <f t="shared" si="21"/>
        <v>47423</v>
      </c>
      <c r="AG80" s="19">
        <f t="shared" si="22"/>
        <v>3996.0567102416171</v>
      </c>
      <c r="AH80" s="19">
        <f t="shared" si="23"/>
        <v>299.70425326812125</v>
      </c>
      <c r="AI80" s="19">
        <f t="shared" si="24"/>
        <v>0</v>
      </c>
      <c r="AK80" s="19">
        <f t="shared" si="25"/>
        <v>0</v>
      </c>
      <c r="AL80" s="19">
        <f ca="1">(IF(MOD(AC80,($AE$15*12)),0,$AG80-IFERROR(SUM(OFFSET(AL79,,,-$AE$15*12)),0))-SUM($AL$28:AL79)*(Z81=0))*(Z80=1)</f>
        <v>0</v>
      </c>
      <c r="AM80" s="19">
        <f t="shared" si="26"/>
        <v>0</v>
      </c>
      <c r="AN80" s="19">
        <f t="shared" si="27"/>
        <v>0</v>
      </c>
      <c r="AP80" s="19">
        <f t="shared" ca="1" si="1"/>
        <v>-4295.7609635097388</v>
      </c>
      <c r="AQ80" s="18">
        <f t="shared" si="2"/>
        <v>0.83206783737321388</v>
      </c>
    </row>
    <row r="81" spans="3:43" x14ac:dyDescent="0.25">
      <c r="C81">
        <f t="shared" si="3"/>
        <v>53</v>
      </c>
      <c r="D81">
        <f t="shared" si="4"/>
        <v>4</v>
      </c>
      <c r="E81" s="12">
        <f t="shared" si="5"/>
        <v>47453</v>
      </c>
      <c r="F81" s="12"/>
      <c r="G81" s="15">
        <f t="shared" si="6"/>
        <v>465.85743949171336</v>
      </c>
      <c r="H81" s="15">
        <f t="shared" si="7"/>
        <v>2328.4130402608562</v>
      </c>
      <c r="I81" s="15"/>
      <c r="J81" s="16">
        <f t="shared" si="8"/>
        <v>656.25</v>
      </c>
      <c r="K81" s="16">
        <f t="shared" si="9"/>
        <v>328.125</v>
      </c>
      <c r="L81">
        <f t="shared" si="10"/>
        <v>0</v>
      </c>
      <c r="M81">
        <f t="shared" si="11"/>
        <v>0</v>
      </c>
      <c r="N81" s="16">
        <f t="shared" si="12"/>
        <v>520</v>
      </c>
      <c r="O81" s="16"/>
      <c r="P81" s="17">
        <f t="shared" si="13"/>
        <v>-4298.6454797525694</v>
      </c>
      <c r="Q81">
        <f>Q80/(1+Assumptions!$E$8/12)</f>
        <v>0.82913133057741872</v>
      </c>
      <c r="S81" s="17">
        <f t="shared" si="14"/>
        <v>568276.88400000148</v>
      </c>
      <c r="T81" s="17">
        <f>T80*(1+$K$24)*Z81</f>
        <v>572985.18800871063</v>
      </c>
      <c r="U81" s="17">
        <f t="shared" si="15"/>
        <v>399156.52118757524</v>
      </c>
      <c r="V81" s="17">
        <f t="shared" si="16"/>
        <v>398690.66374808352</v>
      </c>
      <c r="W81" s="17">
        <f t="shared" si="17"/>
        <v>174294.52426062711</v>
      </c>
      <c r="Y81">
        <f>(MONTH(E81)=MONTH(Assumptions!$E$6))*(YEAR(Assumptions!$E$6)=YEAR('Rent v Mortgage'!E81))</f>
        <v>0</v>
      </c>
      <c r="Z81">
        <f>--(SUM($Y$28:Y80)&lt;1)*AA81</f>
        <v>1</v>
      </c>
      <c r="AA81">
        <f t="shared" si="18"/>
        <v>1</v>
      </c>
      <c r="AB81" s="20"/>
      <c r="AC81">
        <f t="shared" si="19"/>
        <v>53</v>
      </c>
      <c r="AD81">
        <f t="shared" si="20"/>
        <v>2029</v>
      </c>
      <c r="AE81" s="12">
        <f t="shared" si="21"/>
        <v>47453</v>
      </c>
      <c r="AG81" s="19">
        <f t="shared" si="22"/>
        <v>3996.0567102416171</v>
      </c>
      <c r="AH81" s="19">
        <f t="shared" si="23"/>
        <v>299.70425326812125</v>
      </c>
      <c r="AI81" s="19">
        <f t="shared" si="24"/>
        <v>0</v>
      </c>
      <c r="AK81" s="19">
        <f t="shared" si="25"/>
        <v>0</v>
      </c>
      <c r="AL81" s="19">
        <f ca="1">(IF(MOD(AC81,($AE$15*12)),0,$AG81-IFERROR(SUM(OFFSET(AL80,,,-$AE$15*12)),0))-SUM($AL$28:AL80)*(Z82=0))*(Z81=1)</f>
        <v>0</v>
      </c>
      <c r="AM81" s="19">
        <f t="shared" si="26"/>
        <v>0</v>
      </c>
      <c r="AN81" s="19">
        <f t="shared" si="27"/>
        <v>0</v>
      </c>
      <c r="AP81" s="19">
        <f t="shared" ca="1" si="1"/>
        <v>-4295.7609635097388</v>
      </c>
      <c r="AQ81" s="18">
        <f t="shared" si="2"/>
        <v>0.82913133057741872</v>
      </c>
    </row>
    <row r="82" spans="3:43" x14ac:dyDescent="0.25">
      <c r="C82">
        <f t="shared" si="3"/>
        <v>54</v>
      </c>
      <c r="D82">
        <f t="shared" si="4"/>
        <v>4</v>
      </c>
      <c r="E82" s="12">
        <f t="shared" si="5"/>
        <v>47484</v>
      </c>
      <c r="F82" s="12"/>
      <c r="G82" s="15">
        <f t="shared" si="6"/>
        <v>468.57494122208175</v>
      </c>
      <c r="H82" s="15">
        <f t="shared" si="7"/>
        <v>2325.6955385304877</v>
      </c>
      <c r="I82" s="15"/>
      <c r="J82" s="16">
        <f t="shared" si="8"/>
        <v>656.25</v>
      </c>
      <c r="K82" s="16">
        <f t="shared" si="9"/>
        <v>328.125</v>
      </c>
      <c r="L82">
        <f t="shared" si="10"/>
        <v>0</v>
      </c>
      <c r="M82">
        <f t="shared" si="11"/>
        <v>1420.6922100000038</v>
      </c>
      <c r="N82" s="16">
        <f t="shared" si="12"/>
        <v>520</v>
      </c>
      <c r="O82" s="16"/>
      <c r="P82" s="17">
        <f t="shared" si="13"/>
        <v>-5719.3376897525732</v>
      </c>
      <c r="Q82">
        <f>Q81/(1+Assumptions!$E$8/12)</f>
        <v>0.82620518720606384</v>
      </c>
      <c r="S82" s="17">
        <f t="shared" si="14"/>
        <v>568276.88400000148</v>
      </c>
      <c r="T82" s="17">
        <f>T81*(1+$K$24)*Z82</f>
        <v>573931.51963150303</v>
      </c>
      <c r="U82" s="17">
        <f t="shared" si="15"/>
        <v>398690.66374808352</v>
      </c>
      <c r="V82" s="17">
        <f t="shared" si="16"/>
        <v>398222.08880686143</v>
      </c>
      <c r="W82" s="17">
        <f t="shared" si="17"/>
        <v>175709.4308246416</v>
      </c>
      <c r="Y82">
        <f>(MONTH(E82)=MONTH(Assumptions!$E$6))*(YEAR(Assumptions!$E$6)=YEAR('Rent v Mortgage'!E82))</f>
        <v>0</v>
      </c>
      <c r="Z82">
        <f>--(SUM($Y$28:Y81)&lt;1)*AA82</f>
        <v>1</v>
      </c>
      <c r="AA82">
        <f t="shared" si="18"/>
        <v>1</v>
      </c>
      <c r="AB82" s="20"/>
      <c r="AC82">
        <f t="shared" si="19"/>
        <v>54</v>
      </c>
      <c r="AD82">
        <f t="shared" si="20"/>
        <v>2030</v>
      </c>
      <c r="AE82" s="12">
        <f t="shared" si="21"/>
        <v>47484</v>
      </c>
      <c r="AG82" s="19">
        <f t="shared" si="22"/>
        <v>3996.0567102416171</v>
      </c>
      <c r="AH82" s="19">
        <f t="shared" si="23"/>
        <v>299.70425326812125</v>
      </c>
      <c r="AI82" s="19">
        <f t="shared" si="24"/>
        <v>0</v>
      </c>
      <c r="AK82" s="19">
        <f t="shared" si="25"/>
        <v>0</v>
      </c>
      <c r="AL82" s="19">
        <f ca="1">(IF(MOD(AC82,($AE$15*12)),0,$AG82-IFERROR(SUM(OFFSET(AL81,,,-$AE$15*12)),0))-SUM($AL$28:AL81)*(Z83=0))*(Z82=1)</f>
        <v>0</v>
      </c>
      <c r="AM82" s="19">
        <f t="shared" si="26"/>
        <v>0</v>
      </c>
      <c r="AN82" s="19">
        <f t="shared" si="27"/>
        <v>0</v>
      </c>
      <c r="AP82" s="19">
        <f t="shared" ca="1" si="1"/>
        <v>-4295.7609635097388</v>
      </c>
      <c r="AQ82" s="18">
        <f t="shared" si="2"/>
        <v>0.82620518720606384</v>
      </c>
    </row>
    <row r="83" spans="3:43" x14ac:dyDescent="0.25">
      <c r="C83">
        <f t="shared" si="3"/>
        <v>55</v>
      </c>
      <c r="D83">
        <f t="shared" si="4"/>
        <v>4</v>
      </c>
      <c r="E83" s="12">
        <f t="shared" si="5"/>
        <v>47515</v>
      </c>
      <c r="F83" s="12"/>
      <c r="G83" s="15">
        <f t="shared" si="6"/>
        <v>471.30829504587717</v>
      </c>
      <c r="H83" s="15">
        <f t="shared" si="7"/>
        <v>2322.9621847066924</v>
      </c>
      <c r="I83" s="15"/>
      <c r="J83" s="16">
        <f t="shared" si="8"/>
        <v>656.25</v>
      </c>
      <c r="K83" s="16">
        <f t="shared" si="9"/>
        <v>328.125</v>
      </c>
      <c r="L83">
        <f t="shared" si="10"/>
        <v>0</v>
      </c>
      <c r="M83">
        <f t="shared" si="11"/>
        <v>0</v>
      </c>
      <c r="N83" s="16">
        <f t="shared" si="12"/>
        <v>520</v>
      </c>
      <c r="O83" s="16"/>
      <c r="P83" s="17">
        <f t="shared" si="13"/>
        <v>-4298.6454797525694</v>
      </c>
      <c r="Q83">
        <f>Q82/(1+Assumptions!$E$8/12)</f>
        <v>0.82328937068488806</v>
      </c>
      <c r="S83" s="17">
        <f t="shared" si="14"/>
        <v>568276.88400000148</v>
      </c>
      <c r="T83" s="17">
        <f>T82*(1+$K$24)*Z83</f>
        <v>574879.41419790906</v>
      </c>
      <c r="U83" s="17">
        <f t="shared" si="15"/>
        <v>398222.08880686143</v>
      </c>
      <c r="V83" s="17">
        <f t="shared" si="16"/>
        <v>397750.78051181557</v>
      </c>
      <c r="W83" s="17">
        <f t="shared" si="17"/>
        <v>177128.6336860935</v>
      </c>
      <c r="Y83">
        <f>(MONTH(E83)=MONTH(Assumptions!$E$6))*(YEAR(Assumptions!$E$6)=YEAR('Rent v Mortgage'!E83))</f>
        <v>0</v>
      </c>
      <c r="Z83">
        <f>--(SUM($Y$28:Y82)&lt;1)*AA83</f>
        <v>1</v>
      </c>
      <c r="AA83">
        <f t="shared" si="18"/>
        <v>1</v>
      </c>
      <c r="AB83" s="20"/>
      <c r="AC83">
        <f t="shared" si="19"/>
        <v>55</v>
      </c>
      <c r="AD83">
        <f t="shared" si="20"/>
        <v>2030</v>
      </c>
      <c r="AE83" s="12">
        <f t="shared" si="21"/>
        <v>47515</v>
      </c>
      <c r="AG83" s="19">
        <f t="shared" si="22"/>
        <v>3996.0567102416171</v>
      </c>
      <c r="AH83" s="19">
        <f t="shared" si="23"/>
        <v>299.70425326812125</v>
      </c>
      <c r="AI83" s="19">
        <f t="shared" si="24"/>
        <v>0</v>
      </c>
      <c r="AK83" s="19">
        <f t="shared" si="25"/>
        <v>0</v>
      </c>
      <c r="AL83" s="19">
        <f ca="1">(IF(MOD(AC83,($AE$15*12)),0,$AG83-IFERROR(SUM(OFFSET(AL82,,,-$AE$15*12)),0))-SUM($AL$28:AL82)*(Z84=0))*(Z83=1)</f>
        <v>0</v>
      </c>
      <c r="AM83" s="19">
        <f t="shared" si="26"/>
        <v>0</v>
      </c>
      <c r="AN83" s="19">
        <f t="shared" si="27"/>
        <v>0</v>
      </c>
      <c r="AP83" s="19">
        <f t="shared" ca="1" si="1"/>
        <v>-4295.7609635097388</v>
      </c>
      <c r="AQ83" s="18">
        <f t="shared" si="2"/>
        <v>0.82328937068488806</v>
      </c>
    </row>
    <row r="84" spans="3:43" x14ac:dyDescent="0.25">
      <c r="C84">
        <f t="shared" si="3"/>
        <v>56</v>
      </c>
      <c r="D84">
        <f t="shared" si="4"/>
        <v>4</v>
      </c>
      <c r="E84" s="12">
        <f t="shared" si="5"/>
        <v>47543</v>
      </c>
      <c r="F84" s="12"/>
      <c r="G84" s="15">
        <f t="shared" si="6"/>
        <v>474.0575934336448</v>
      </c>
      <c r="H84" s="15">
        <f t="shared" si="7"/>
        <v>2320.2128863189246</v>
      </c>
      <c r="I84" s="15"/>
      <c r="J84" s="16">
        <f t="shared" si="8"/>
        <v>656.25</v>
      </c>
      <c r="K84" s="16">
        <f t="shared" si="9"/>
        <v>328.125</v>
      </c>
      <c r="L84">
        <f t="shared" si="10"/>
        <v>0</v>
      </c>
      <c r="M84">
        <f t="shared" si="11"/>
        <v>0</v>
      </c>
      <c r="N84" s="16">
        <f t="shared" si="12"/>
        <v>520</v>
      </c>
      <c r="O84" s="16"/>
      <c r="P84" s="17">
        <f t="shared" si="13"/>
        <v>-4298.6454797525694</v>
      </c>
      <c r="Q84">
        <f>Q83/(1+Assumptions!$E$8/12)</f>
        <v>0.82038384456870717</v>
      </c>
      <c r="S84" s="17">
        <f t="shared" si="14"/>
        <v>568276.88400000148</v>
      </c>
      <c r="T84" s="17">
        <f>T83*(1+$K$24)*Z84</f>
        <v>575828.87428925722</v>
      </c>
      <c r="U84" s="17">
        <f t="shared" si="15"/>
        <v>397750.78051181557</v>
      </c>
      <c r="V84" s="17">
        <f t="shared" si="16"/>
        <v>397276.72291838191</v>
      </c>
      <c r="W84" s="17">
        <f t="shared" si="17"/>
        <v>178552.1513708753</v>
      </c>
      <c r="Y84">
        <f>(MONTH(E84)=MONTH(Assumptions!$E$6))*(YEAR(Assumptions!$E$6)=YEAR('Rent v Mortgage'!E84))</f>
        <v>0</v>
      </c>
      <c r="Z84">
        <f>--(SUM($Y$28:Y83)&lt;1)*AA84</f>
        <v>1</v>
      </c>
      <c r="AA84">
        <f t="shared" si="18"/>
        <v>1</v>
      </c>
      <c r="AB84" s="20"/>
      <c r="AC84">
        <f t="shared" si="19"/>
        <v>56</v>
      </c>
      <c r="AD84">
        <f t="shared" si="20"/>
        <v>2030</v>
      </c>
      <c r="AE84" s="12">
        <f t="shared" si="21"/>
        <v>47543</v>
      </c>
      <c r="AG84" s="19">
        <f t="shared" si="22"/>
        <v>3996.0567102416171</v>
      </c>
      <c r="AH84" s="19">
        <f t="shared" si="23"/>
        <v>299.70425326812125</v>
      </c>
      <c r="AI84" s="19">
        <f t="shared" si="24"/>
        <v>0</v>
      </c>
      <c r="AK84" s="19">
        <f t="shared" si="25"/>
        <v>0</v>
      </c>
      <c r="AL84" s="19">
        <f ca="1">(IF(MOD(AC84,($AE$15*12)),0,$AG84-IFERROR(SUM(OFFSET(AL83,,,-$AE$15*12)),0))-SUM($AL$28:AL83)*(Z85=0))*(Z84=1)</f>
        <v>0</v>
      </c>
      <c r="AM84" s="19">
        <f t="shared" si="26"/>
        <v>0</v>
      </c>
      <c r="AN84" s="19">
        <f t="shared" si="27"/>
        <v>0</v>
      </c>
      <c r="AP84" s="19">
        <f t="shared" ca="1" si="1"/>
        <v>-4295.7609635097388</v>
      </c>
      <c r="AQ84" s="18">
        <f t="shared" si="2"/>
        <v>0.82038384456870717</v>
      </c>
    </row>
    <row r="85" spans="3:43" x14ac:dyDescent="0.25">
      <c r="C85">
        <f t="shared" si="3"/>
        <v>57</v>
      </c>
      <c r="D85">
        <f t="shared" si="4"/>
        <v>4</v>
      </c>
      <c r="E85" s="12">
        <f t="shared" si="5"/>
        <v>47574</v>
      </c>
      <c r="F85" s="12"/>
      <c r="G85" s="15">
        <f t="shared" si="6"/>
        <v>476.82292939534113</v>
      </c>
      <c r="H85" s="15">
        <f t="shared" si="7"/>
        <v>2317.4475503572285</v>
      </c>
      <c r="I85" s="15"/>
      <c r="J85" s="16">
        <f t="shared" si="8"/>
        <v>656.25</v>
      </c>
      <c r="K85" s="16">
        <f t="shared" si="9"/>
        <v>328.125</v>
      </c>
      <c r="L85">
        <f t="shared" si="10"/>
        <v>0</v>
      </c>
      <c r="M85">
        <f t="shared" si="11"/>
        <v>1420.6922100000038</v>
      </c>
      <c r="N85" s="16">
        <f t="shared" si="12"/>
        <v>520</v>
      </c>
      <c r="O85" s="16"/>
      <c r="P85" s="17">
        <f t="shared" si="13"/>
        <v>-5719.3376897525732</v>
      </c>
      <c r="Q85">
        <f>Q84/(1+Assumptions!$E$8/12)</f>
        <v>0.81748857254095786</v>
      </c>
      <c r="S85" s="17">
        <f t="shared" si="14"/>
        <v>568276.88400000148</v>
      </c>
      <c r="T85" s="17">
        <f>T84*(1+$K$24)*Z85</f>
        <v>576779.90249113913</v>
      </c>
      <c r="U85" s="17">
        <f t="shared" si="15"/>
        <v>397276.72291838191</v>
      </c>
      <c r="V85" s="17">
        <f t="shared" si="16"/>
        <v>396799.89998898655</v>
      </c>
      <c r="W85" s="17">
        <f t="shared" si="17"/>
        <v>179980.00250215258</v>
      </c>
      <c r="Y85">
        <f>(MONTH(E85)=MONTH(Assumptions!$E$6))*(YEAR(Assumptions!$E$6)=YEAR('Rent v Mortgage'!E85))</f>
        <v>0</v>
      </c>
      <c r="Z85">
        <f>--(SUM($Y$28:Y84)&lt;1)*AA85</f>
        <v>1</v>
      </c>
      <c r="AA85">
        <f t="shared" si="18"/>
        <v>1</v>
      </c>
      <c r="AB85" s="20"/>
      <c r="AC85">
        <f t="shared" si="19"/>
        <v>57</v>
      </c>
      <c r="AD85">
        <f t="shared" si="20"/>
        <v>2030</v>
      </c>
      <c r="AE85" s="12">
        <f t="shared" si="21"/>
        <v>47574</v>
      </c>
      <c r="AG85" s="19">
        <f t="shared" si="22"/>
        <v>3996.0567102416171</v>
      </c>
      <c r="AH85" s="19">
        <f t="shared" si="23"/>
        <v>299.70425326812125</v>
      </c>
      <c r="AI85" s="19">
        <f t="shared" si="24"/>
        <v>0</v>
      </c>
      <c r="AK85" s="19">
        <f t="shared" si="25"/>
        <v>0</v>
      </c>
      <c r="AL85" s="19">
        <f ca="1">(IF(MOD(AC85,($AE$15*12)),0,$AG85-IFERROR(SUM(OFFSET(AL84,,,-$AE$15*12)),0))-SUM($AL$28:AL84)*(Z86=0))*(Z85=1)</f>
        <v>0</v>
      </c>
      <c r="AM85" s="19">
        <f t="shared" si="26"/>
        <v>0</v>
      </c>
      <c r="AN85" s="19">
        <f t="shared" si="27"/>
        <v>0</v>
      </c>
      <c r="AP85" s="19">
        <f t="shared" ca="1" si="1"/>
        <v>-4295.7609635097388</v>
      </c>
      <c r="AQ85" s="18">
        <f t="shared" si="2"/>
        <v>0.81748857254095786</v>
      </c>
    </row>
    <row r="86" spans="3:43" x14ac:dyDescent="0.25">
      <c r="C86">
        <f t="shared" si="3"/>
        <v>58</v>
      </c>
      <c r="D86">
        <f t="shared" si="4"/>
        <v>4</v>
      </c>
      <c r="E86" s="12">
        <f t="shared" si="5"/>
        <v>47604</v>
      </c>
      <c r="F86" s="12"/>
      <c r="G86" s="15">
        <f t="shared" si="6"/>
        <v>479.60439648348046</v>
      </c>
      <c r="H86" s="15">
        <f t="shared" si="7"/>
        <v>2314.6660832690891</v>
      </c>
      <c r="I86" s="15"/>
      <c r="J86" s="16">
        <f t="shared" si="8"/>
        <v>656.25</v>
      </c>
      <c r="K86" s="16">
        <f t="shared" si="9"/>
        <v>328.125</v>
      </c>
      <c r="L86">
        <f t="shared" si="10"/>
        <v>0</v>
      </c>
      <c r="M86">
        <f t="shared" si="11"/>
        <v>0</v>
      </c>
      <c r="N86" s="16">
        <f t="shared" si="12"/>
        <v>520</v>
      </c>
      <c r="O86" s="16"/>
      <c r="P86" s="17">
        <f t="shared" si="13"/>
        <v>-4298.6454797525694</v>
      </c>
      <c r="Q86">
        <f>Q85/(1+Assumptions!$E$8/12)</f>
        <v>0.81460351841324419</v>
      </c>
      <c r="S86" s="17">
        <f t="shared" si="14"/>
        <v>568276.88400000148</v>
      </c>
      <c r="T86" s="17">
        <f>T85*(1+$K$24)*Z86</f>
        <v>577732.5013934169</v>
      </c>
      <c r="U86" s="17">
        <f t="shared" si="15"/>
        <v>396799.89998898655</v>
      </c>
      <c r="V86" s="17">
        <f t="shared" si="16"/>
        <v>396320.2955925031</v>
      </c>
      <c r="W86" s="17">
        <f t="shared" si="17"/>
        <v>181412.2058009138</v>
      </c>
      <c r="Y86">
        <f>(MONTH(E86)=MONTH(Assumptions!$E$6))*(YEAR(Assumptions!$E$6)=YEAR('Rent v Mortgage'!E86))</f>
        <v>0</v>
      </c>
      <c r="Z86">
        <f>--(SUM($Y$28:Y85)&lt;1)*AA86</f>
        <v>1</v>
      </c>
      <c r="AA86">
        <f t="shared" si="18"/>
        <v>1</v>
      </c>
      <c r="AB86" s="20"/>
      <c r="AC86">
        <f t="shared" si="19"/>
        <v>58</v>
      </c>
      <c r="AD86">
        <f t="shared" si="20"/>
        <v>2030</v>
      </c>
      <c r="AE86" s="12">
        <f t="shared" si="21"/>
        <v>47604</v>
      </c>
      <c r="AG86" s="19">
        <f t="shared" si="22"/>
        <v>3996.0567102416171</v>
      </c>
      <c r="AH86" s="19">
        <f t="shared" si="23"/>
        <v>299.70425326812125</v>
      </c>
      <c r="AI86" s="19">
        <f t="shared" si="24"/>
        <v>0</v>
      </c>
      <c r="AK86" s="19">
        <f t="shared" si="25"/>
        <v>0</v>
      </c>
      <c r="AL86" s="19">
        <f ca="1">(IF(MOD(AC86,($AE$15*12)),0,$AG86-IFERROR(SUM(OFFSET(AL85,,,-$AE$15*12)),0))-SUM($AL$28:AL85)*(Z87=0))*(Z86=1)</f>
        <v>0</v>
      </c>
      <c r="AM86" s="19">
        <f t="shared" si="26"/>
        <v>0</v>
      </c>
      <c r="AN86" s="19">
        <f t="shared" si="27"/>
        <v>0</v>
      </c>
      <c r="AP86" s="19">
        <f t="shared" ca="1" si="1"/>
        <v>-4295.7609635097388</v>
      </c>
      <c r="AQ86" s="18">
        <f t="shared" si="2"/>
        <v>0.81460351841324419</v>
      </c>
    </row>
    <row r="87" spans="3:43" x14ac:dyDescent="0.25">
      <c r="C87">
        <f t="shared" si="3"/>
        <v>59</v>
      </c>
      <c r="D87">
        <f t="shared" si="4"/>
        <v>4</v>
      </c>
      <c r="E87" s="12">
        <f t="shared" si="5"/>
        <v>47635</v>
      </c>
      <c r="F87" s="12"/>
      <c r="G87" s="15">
        <f t="shared" si="6"/>
        <v>482.40208879630086</v>
      </c>
      <c r="H87" s="15">
        <f t="shared" si="7"/>
        <v>2311.8683909562687</v>
      </c>
      <c r="I87" s="15"/>
      <c r="J87" s="16">
        <f t="shared" si="8"/>
        <v>656.25</v>
      </c>
      <c r="K87" s="16">
        <f t="shared" si="9"/>
        <v>328.125</v>
      </c>
      <c r="L87">
        <f t="shared" si="10"/>
        <v>0</v>
      </c>
      <c r="M87">
        <f t="shared" si="11"/>
        <v>0</v>
      </c>
      <c r="N87" s="16">
        <f t="shared" si="12"/>
        <v>520</v>
      </c>
      <c r="O87" s="16"/>
      <c r="P87" s="17">
        <f t="shared" si="13"/>
        <v>-4298.6454797525694</v>
      </c>
      <c r="Q87">
        <f>Q86/(1+Assumptions!$E$8/12)</f>
        <v>0.81172864612488516</v>
      </c>
      <c r="S87" s="17">
        <f t="shared" si="14"/>
        <v>568276.88400000148</v>
      </c>
      <c r="T87" s="17">
        <f>T86*(1+$K$24)*Z87</f>
        <v>578686.67359022982</v>
      </c>
      <c r="U87" s="17">
        <f t="shared" si="15"/>
        <v>396320.2955925031</v>
      </c>
      <c r="V87" s="17">
        <f t="shared" si="16"/>
        <v>395837.89350370679</v>
      </c>
      <c r="W87" s="17">
        <f t="shared" si="17"/>
        <v>182848.78008652304</v>
      </c>
      <c r="Y87">
        <f>(MONTH(E87)=MONTH(Assumptions!$E$6))*(YEAR(Assumptions!$E$6)=YEAR('Rent v Mortgage'!E87))</f>
        <v>0</v>
      </c>
      <c r="Z87">
        <f>--(SUM($Y$28:Y86)&lt;1)*AA87</f>
        <v>1</v>
      </c>
      <c r="AA87">
        <f t="shared" si="18"/>
        <v>1</v>
      </c>
      <c r="AB87" s="20"/>
      <c r="AC87">
        <f t="shared" si="19"/>
        <v>59</v>
      </c>
      <c r="AD87">
        <f t="shared" si="20"/>
        <v>2030</v>
      </c>
      <c r="AE87" s="12">
        <f t="shared" si="21"/>
        <v>47635</v>
      </c>
      <c r="AG87" s="19">
        <f t="shared" si="22"/>
        <v>3996.0567102416171</v>
      </c>
      <c r="AH87" s="19">
        <f t="shared" si="23"/>
        <v>299.70425326812125</v>
      </c>
      <c r="AI87" s="19">
        <f t="shared" si="24"/>
        <v>0</v>
      </c>
      <c r="AK87" s="19">
        <f t="shared" si="25"/>
        <v>0</v>
      </c>
      <c r="AL87" s="19">
        <f ca="1">(IF(MOD(AC87,($AE$15*12)),0,$AG87-IFERROR(SUM(OFFSET(AL86,,,-$AE$15*12)),0))-SUM($AL$28:AL86)*(Z88=0))*(Z87=1)</f>
        <v>0</v>
      </c>
      <c r="AM87" s="19">
        <f t="shared" si="26"/>
        <v>0</v>
      </c>
      <c r="AN87" s="19">
        <f t="shared" si="27"/>
        <v>0</v>
      </c>
      <c r="AP87" s="19">
        <f t="shared" ca="1" si="1"/>
        <v>-4295.7609635097388</v>
      </c>
      <c r="AQ87" s="18">
        <f t="shared" si="2"/>
        <v>0.81172864612488516</v>
      </c>
    </row>
    <row r="88" spans="3:43" x14ac:dyDescent="0.25">
      <c r="C88">
        <f t="shared" si="3"/>
        <v>60</v>
      </c>
      <c r="D88">
        <f t="shared" si="4"/>
        <v>5</v>
      </c>
      <c r="E88" s="12">
        <f t="shared" si="5"/>
        <v>47665</v>
      </c>
      <c r="F88" s="12"/>
      <c r="G88" s="15">
        <f t="shared" si="6"/>
        <v>485.21610098094595</v>
      </c>
      <c r="H88" s="15">
        <f t="shared" si="7"/>
        <v>2309.0543787716233</v>
      </c>
      <c r="I88" s="15"/>
      <c r="J88" s="16">
        <f t="shared" si="8"/>
        <v>656.25</v>
      </c>
      <c r="K88" s="16">
        <f t="shared" si="9"/>
        <v>328.125</v>
      </c>
      <c r="L88">
        <f t="shared" si="10"/>
        <v>579.64242168000192</v>
      </c>
      <c r="M88">
        <f t="shared" si="11"/>
        <v>1449.1060542000048</v>
      </c>
      <c r="N88" s="16">
        <f t="shared" si="12"/>
        <v>520</v>
      </c>
      <c r="O88" s="16"/>
      <c r="P88" s="17">
        <f t="shared" si="13"/>
        <v>177962.35032164346</v>
      </c>
      <c r="Q88">
        <f>Q87/(1+Assumptions!$E$8/12)</f>
        <v>0.80886391974246385</v>
      </c>
      <c r="S88" s="17">
        <f t="shared" si="14"/>
        <v>579642.42168000189</v>
      </c>
      <c r="T88" s="17">
        <f>T87*(1+$K$24)*Z88</f>
        <v>579642.42168000189</v>
      </c>
      <c r="U88" s="17">
        <f t="shared" si="15"/>
        <v>395837.89350370679</v>
      </c>
      <c r="V88" s="17">
        <f t="shared" si="16"/>
        <v>395352.67740272585</v>
      </c>
      <c r="W88" s="17">
        <f t="shared" si="17"/>
        <v>184289.74427727604</v>
      </c>
      <c r="Y88">
        <f>(MONTH(E88)=MONTH(Assumptions!$E$6))*(YEAR(Assumptions!$E$6)=YEAR('Rent v Mortgage'!E88))</f>
        <v>1</v>
      </c>
      <c r="Z88">
        <f>--(SUM($Y$28:Y87)&lt;1)*AA88</f>
        <v>1</v>
      </c>
      <c r="AA88">
        <f t="shared" si="18"/>
        <v>1</v>
      </c>
      <c r="AB88" s="20"/>
      <c r="AC88">
        <f t="shared" si="19"/>
        <v>60</v>
      </c>
      <c r="AD88">
        <f t="shared" si="20"/>
        <v>2030</v>
      </c>
      <c r="AE88" s="12">
        <f t="shared" si="21"/>
        <v>47665</v>
      </c>
      <c r="AG88" s="19">
        <f t="shared" si="22"/>
        <v>4155.8989786512821</v>
      </c>
      <c r="AH88" s="19">
        <f t="shared" si="23"/>
        <v>299.70425326812125</v>
      </c>
      <c r="AI88" s="19">
        <f t="shared" si="24"/>
        <v>225</v>
      </c>
      <c r="AK88" s="19">
        <f t="shared" si="25"/>
        <v>0</v>
      </c>
      <c r="AL88" s="19">
        <f ca="1">(IF(MOD(AC88,($AE$15*12)),0,$AG88-IFERROR(SUM(OFFSET(AL87,,,-$AE$15*12)),0))-SUM($AL$28:AL87)*(Z89=0))*(Z88=1)</f>
        <v>-3842.3622213861699</v>
      </c>
      <c r="AM88" s="19">
        <f t="shared" si="26"/>
        <v>0</v>
      </c>
      <c r="AN88" s="19">
        <f t="shared" si="27"/>
        <v>4155.8989786512821</v>
      </c>
      <c r="AP88" s="19">
        <f t="shared" ca="1" si="1"/>
        <v>-4994.1399891845158</v>
      </c>
      <c r="AQ88" s="18">
        <f t="shared" si="2"/>
        <v>0.80886391974246385</v>
      </c>
    </row>
    <row r="89" spans="3:43" x14ac:dyDescent="0.25">
      <c r="C89">
        <f t="shared" si="3"/>
        <v>61</v>
      </c>
      <c r="D89">
        <f t="shared" si="4"/>
        <v>5</v>
      </c>
      <c r="E89" s="12">
        <f t="shared" si="5"/>
        <v>47696</v>
      </c>
      <c r="F89" s="12"/>
      <c r="G89" s="15">
        <f t="shared" si="6"/>
        <v>0</v>
      </c>
      <c r="H89" s="15">
        <f t="shared" si="7"/>
        <v>0</v>
      </c>
      <c r="I89" s="15"/>
      <c r="J89" s="16">
        <f t="shared" si="8"/>
        <v>0</v>
      </c>
      <c r="K89" s="16">
        <f t="shared" si="9"/>
        <v>0</v>
      </c>
      <c r="L89">
        <f t="shared" si="10"/>
        <v>0</v>
      </c>
      <c r="M89">
        <f t="shared" si="11"/>
        <v>0</v>
      </c>
      <c r="N89" s="16">
        <f t="shared" si="12"/>
        <v>0</v>
      </c>
      <c r="O89" s="16"/>
      <c r="P89" s="17">
        <f t="shared" si="13"/>
        <v>0</v>
      </c>
      <c r="Q89">
        <f>Q88/(1+Assumptions!$E$8/12)</f>
        <v>0.80600930345937849</v>
      </c>
      <c r="S89" s="17">
        <f t="shared" si="14"/>
        <v>0</v>
      </c>
      <c r="T89" s="17">
        <f>T88*(1+$K$24)*Z89</f>
        <v>0</v>
      </c>
      <c r="U89" s="17">
        <f t="shared" si="15"/>
        <v>0</v>
      </c>
      <c r="V89" s="17">
        <f t="shared" si="16"/>
        <v>0</v>
      </c>
      <c r="W89" s="17">
        <f t="shared" si="17"/>
        <v>0</v>
      </c>
      <c r="Y89">
        <f>(MONTH(E89)=MONTH(Assumptions!$E$6))*(YEAR(Assumptions!$E$6)=YEAR('Rent v Mortgage'!E89))</f>
        <v>0</v>
      </c>
      <c r="Z89">
        <f>--(SUM($Y$28:Y88)&lt;1)*AA89</f>
        <v>0</v>
      </c>
      <c r="AA89">
        <f t="shared" si="18"/>
        <v>1</v>
      </c>
      <c r="AB89" s="20"/>
      <c r="AC89">
        <f t="shared" si="19"/>
        <v>61</v>
      </c>
      <c r="AD89">
        <f t="shared" si="20"/>
        <v>2030</v>
      </c>
      <c r="AE89" s="12">
        <f t="shared" si="21"/>
        <v>47696</v>
      </c>
      <c r="AG89" s="19">
        <f t="shared" si="22"/>
        <v>0</v>
      </c>
      <c r="AH89" s="19">
        <f t="shared" si="23"/>
        <v>0</v>
      </c>
      <c r="AI89" s="19">
        <f t="shared" si="24"/>
        <v>0</v>
      </c>
      <c r="AK89" s="19">
        <f t="shared" si="25"/>
        <v>0</v>
      </c>
      <c r="AL89" s="19">
        <f ca="1">(IF(MOD(AC89,($AE$15*12)),0,$AG89-IFERROR(SUM(OFFSET(AL88,,,-$AE$15*12)),0))-SUM($AL$28:AL88)*(Z90=0))*(Z89=1)</f>
        <v>0</v>
      </c>
      <c r="AM89" s="19">
        <f t="shared" si="26"/>
        <v>0</v>
      </c>
      <c r="AN89" s="19">
        <f t="shared" si="27"/>
        <v>0</v>
      </c>
      <c r="AP89" s="19">
        <f t="shared" ca="1" si="1"/>
        <v>0</v>
      </c>
      <c r="AQ89" s="18">
        <f t="shared" si="2"/>
        <v>0.80600930345937849</v>
      </c>
    </row>
    <row r="90" spans="3:43" x14ac:dyDescent="0.25">
      <c r="C90">
        <f t="shared" si="3"/>
        <v>62</v>
      </c>
      <c r="D90">
        <f t="shared" si="4"/>
        <v>5</v>
      </c>
      <c r="E90" s="12">
        <f t="shared" si="5"/>
        <v>47727</v>
      </c>
      <c r="F90" s="12"/>
      <c r="G90" s="15">
        <f t="shared" si="6"/>
        <v>0</v>
      </c>
      <c r="H90" s="15">
        <f t="shared" si="7"/>
        <v>0</v>
      </c>
      <c r="I90" s="15"/>
      <c r="J90" s="16">
        <f t="shared" si="8"/>
        <v>0</v>
      </c>
      <c r="K90" s="16">
        <f t="shared" si="9"/>
        <v>0</v>
      </c>
      <c r="L90">
        <f t="shared" si="10"/>
        <v>0</v>
      </c>
      <c r="M90">
        <f t="shared" si="11"/>
        <v>0</v>
      </c>
      <c r="N90" s="16">
        <f t="shared" si="12"/>
        <v>0</v>
      </c>
      <c r="O90" s="16"/>
      <c r="P90" s="17">
        <f t="shared" si="13"/>
        <v>0</v>
      </c>
      <c r="Q90">
        <f>Q89/(1+Assumptions!$E$8/12)</f>
        <v>0.80316476159539474</v>
      </c>
      <c r="S90" s="17">
        <f t="shared" si="14"/>
        <v>0</v>
      </c>
      <c r="T90" s="17">
        <f>T89*(1+$K$24)*Z90</f>
        <v>0</v>
      </c>
      <c r="U90" s="17">
        <f t="shared" si="15"/>
        <v>0</v>
      </c>
      <c r="V90" s="17">
        <f t="shared" si="16"/>
        <v>0</v>
      </c>
      <c r="W90" s="17">
        <f t="shared" si="17"/>
        <v>0</v>
      </c>
      <c r="Y90">
        <f>(MONTH(E90)=MONTH(Assumptions!$E$6))*(YEAR(Assumptions!$E$6)=YEAR('Rent v Mortgage'!E90))</f>
        <v>0</v>
      </c>
      <c r="Z90">
        <f>--(SUM($Y$28:Y89)&lt;1)*AA90</f>
        <v>0</v>
      </c>
      <c r="AA90">
        <f t="shared" si="18"/>
        <v>1</v>
      </c>
      <c r="AB90" s="20"/>
      <c r="AC90">
        <f t="shared" si="19"/>
        <v>62</v>
      </c>
      <c r="AD90">
        <f t="shared" si="20"/>
        <v>2030</v>
      </c>
      <c r="AE90" s="12">
        <f t="shared" si="21"/>
        <v>47727</v>
      </c>
      <c r="AG90" s="19">
        <f t="shared" si="22"/>
        <v>0</v>
      </c>
      <c r="AH90" s="19">
        <f t="shared" si="23"/>
        <v>0</v>
      </c>
      <c r="AI90" s="19">
        <f t="shared" si="24"/>
        <v>0</v>
      </c>
      <c r="AK90" s="19">
        <f t="shared" si="25"/>
        <v>0</v>
      </c>
      <c r="AL90" s="19">
        <f ca="1">(IF(MOD(AC90,($AE$15*12)),0,$AG90-IFERROR(SUM(OFFSET(AL89,,,-$AE$15*12)),0))-SUM($AL$28:AL89)*(Z91=0))*(Z90=1)</f>
        <v>0</v>
      </c>
      <c r="AM90" s="19">
        <f t="shared" si="26"/>
        <v>0</v>
      </c>
      <c r="AN90" s="19">
        <f t="shared" si="27"/>
        <v>0</v>
      </c>
      <c r="AP90" s="19">
        <f t="shared" ca="1" si="1"/>
        <v>0</v>
      </c>
      <c r="AQ90" s="18">
        <f t="shared" si="2"/>
        <v>0.80316476159539474</v>
      </c>
    </row>
    <row r="91" spans="3:43" x14ac:dyDescent="0.25">
      <c r="C91">
        <f t="shared" si="3"/>
        <v>63</v>
      </c>
      <c r="D91">
        <f t="shared" si="4"/>
        <v>5</v>
      </c>
      <c r="E91" s="12">
        <f t="shared" si="5"/>
        <v>47757</v>
      </c>
      <c r="F91" s="12"/>
      <c r="G91" s="15">
        <f t="shared" si="6"/>
        <v>0</v>
      </c>
      <c r="H91" s="15">
        <f t="shared" si="7"/>
        <v>0</v>
      </c>
      <c r="I91" s="15"/>
      <c r="J91" s="16">
        <f t="shared" si="8"/>
        <v>0</v>
      </c>
      <c r="K91" s="16">
        <f t="shared" si="9"/>
        <v>0</v>
      </c>
      <c r="L91">
        <f t="shared" si="10"/>
        <v>0</v>
      </c>
      <c r="M91">
        <f t="shared" si="11"/>
        <v>0</v>
      </c>
      <c r="N91" s="16">
        <f t="shared" si="12"/>
        <v>0</v>
      </c>
      <c r="O91" s="16"/>
      <c r="P91" s="17">
        <f t="shared" si="13"/>
        <v>0</v>
      </c>
      <c r="Q91">
        <f>Q90/(1+Assumptions!$E$8/12)</f>
        <v>0.80033025859619977</v>
      </c>
      <c r="S91" s="17">
        <f t="shared" si="14"/>
        <v>0</v>
      </c>
      <c r="T91" s="17">
        <f>T90*(1+$K$24)*Z91</f>
        <v>0</v>
      </c>
      <c r="U91" s="17">
        <f t="shared" si="15"/>
        <v>0</v>
      </c>
      <c r="V91" s="17">
        <f t="shared" si="16"/>
        <v>0</v>
      </c>
      <c r="W91" s="17">
        <f t="shared" si="17"/>
        <v>0</v>
      </c>
      <c r="Y91">
        <f>(MONTH(E91)=MONTH(Assumptions!$E$6))*(YEAR(Assumptions!$E$6)=YEAR('Rent v Mortgage'!E91))</f>
        <v>0</v>
      </c>
      <c r="Z91">
        <f>--(SUM($Y$28:Y90)&lt;1)*AA91</f>
        <v>0</v>
      </c>
      <c r="AA91">
        <f t="shared" si="18"/>
        <v>1</v>
      </c>
      <c r="AB91" s="20"/>
      <c r="AC91">
        <f t="shared" si="19"/>
        <v>63</v>
      </c>
      <c r="AD91">
        <f t="shared" si="20"/>
        <v>2030</v>
      </c>
      <c r="AE91" s="12">
        <f t="shared" si="21"/>
        <v>47757</v>
      </c>
      <c r="AG91" s="19">
        <f t="shared" si="22"/>
        <v>0</v>
      </c>
      <c r="AH91" s="19">
        <f t="shared" si="23"/>
        <v>0</v>
      </c>
      <c r="AI91" s="19">
        <f t="shared" si="24"/>
        <v>0</v>
      </c>
      <c r="AK91" s="19">
        <f t="shared" si="25"/>
        <v>0</v>
      </c>
      <c r="AL91" s="19">
        <f ca="1">(IF(MOD(AC91,($AE$15*12)),0,$AG91-IFERROR(SUM(OFFSET(AL90,,,-$AE$15*12)),0))-SUM($AL$28:AL90)*(Z92=0))*(Z91=1)</f>
        <v>0</v>
      </c>
      <c r="AM91" s="19">
        <f t="shared" si="26"/>
        <v>0</v>
      </c>
      <c r="AN91" s="19">
        <f t="shared" si="27"/>
        <v>0</v>
      </c>
      <c r="AP91" s="19">
        <f t="shared" ca="1" si="1"/>
        <v>0</v>
      </c>
      <c r="AQ91" s="18">
        <f t="shared" si="2"/>
        <v>0.80033025859619977</v>
      </c>
    </row>
    <row r="92" spans="3:43" x14ac:dyDescent="0.25">
      <c r="C92">
        <f t="shared" si="3"/>
        <v>64</v>
      </c>
      <c r="D92">
        <f t="shared" si="4"/>
        <v>5</v>
      </c>
      <c r="E92" s="12">
        <f t="shared" si="5"/>
        <v>47788</v>
      </c>
      <c r="F92" s="12"/>
      <c r="G92" s="15">
        <f t="shared" si="6"/>
        <v>0</v>
      </c>
      <c r="H92" s="15">
        <f t="shared" si="7"/>
        <v>0</v>
      </c>
      <c r="I92" s="15"/>
      <c r="J92" s="16">
        <f t="shared" si="8"/>
        <v>0</v>
      </c>
      <c r="K92" s="16">
        <f t="shared" si="9"/>
        <v>0</v>
      </c>
      <c r="L92">
        <f t="shared" si="10"/>
        <v>0</v>
      </c>
      <c r="M92">
        <f t="shared" si="11"/>
        <v>0</v>
      </c>
      <c r="N92" s="16">
        <f t="shared" si="12"/>
        <v>0</v>
      </c>
      <c r="O92" s="16"/>
      <c r="P92" s="17">
        <f t="shared" si="13"/>
        <v>0</v>
      </c>
      <c r="Q92">
        <f>Q91/(1+Assumptions!$E$8/12)</f>
        <v>0.79750575903295795</v>
      </c>
      <c r="S92" s="17">
        <f t="shared" si="14"/>
        <v>0</v>
      </c>
      <c r="T92" s="17">
        <f>T91*(1+$K$24)*Z92</f>
        <v>0</v>
      </c>
      <c r="U92" s="17">
        <f t="shared" si="15"/>
        <v>0</v>
      </c>
      <c r="V92" s="17">
        <f t="shared" si="16"/>
        <v>0</v>
      </c>
      <c r="W92" s="17">
        <f t="shared" si="17"/>
        <v>0</v>
      </c>
      <c r="Y92">
        <f>(MONTH(E92)=MONTH(Assumptions!$E$6))*(YEAR(Assumptions!$E$6)=YEAR('Rent v Mortgage'!E92))</f>
        <v>0</v>
      </c>
      <c r="Z92">
        <f>--(SUM($Y$28:Y91)&lt;1)*AA92</f>
        <v>0</v>
      </c>
      <c r="AA92">
        <f t="shared" si="18"/>
        <v>1</v>
      </c>
      <c r="AB92" s="20"/>
      <c r="AC92">
        <f t="shared" si="19"/>
        <v>64</v>
      </c>
      <c r="AD92">
        <f t="shared" si="20"/>
        <v>2030</v>
      </c>
      <c r="AE92" s="12">
        <f t="shared" si="21"/>
        <v>47788</v>
      </c>
      <c r="AG92" s="19">
        <f t="shared" si="22"/>
        <v>0</v>
      </c>
      <c r="AH92" s="19">
        <f t="shared" si="23"/>
        <v>0</v>
      </c>
      <c r="AI92" s="19">
        <f t="shared" si="24"/>
        <v>0</v>
      </c>
      <c r="AK92" s="19">
        <f t="shared" si="25"/>
        <v>0</v>
      </c>
      <c r="AL92" s="19">
        <f ca="1">(IF(MOD(AC92,($AE$15*12)),0,$AG92-IFERROR(SUM(OFFSET(AL91,,,-$AE$15*12)),0))-SUM($AL$28:AL91)*(Z93=0))*(Z92=1)</f>
        <v>0</v>
      </c>
      <c r="AM92" s="19">
        <f t="shared" si="26"/>
        <v>0</v>
      </c>
      <c r="AN92" s="19">
        <f t="shared" si="27"/>
        <v>0</v>
      </c>
      <c r="AP92" s="19">
        <f t="shared" ca="1" si="1"/>
        <v>0</v>
      </c>
      <c r="AQ92" s="18">
        <f t="shared" si="2"/>
        <v>0.79750575903295795</v>
      </c>
    </row>
    <row r="93" spans="3:43" x14ac:dyDescent="0.25">
      <c r="C93">
        <f t="shared" si="3"/>
        <v>65</v>
      </c>
      <c r="D93">
        <f t="shared" si="4"/>
        <v>5</v>
      </c>
      <c r="E93" s="12">
        <f t="shared" si="5"/>
        <v>47818</v>
      </c>
      <c r="F93" s="12"/>
      <c r="G93" s="15">
        <f t="shared" si="6"/>
        <v>0</v>
      </c>
      <c r="H93" s="15">
        <f t="shared" si="7"/>
        <v>0</v>
      </c>
      <c r="I93" s="15"/>
      <c r="J93" s="16">
        <f t="shared" si="8"/>
        <v>0</v>
      </c>
      <c r="K93" s="16">
        <f t="shared" si="9"/>
        <v>0</v>
      </c>
      <c r="L93">
        <f t="shared" si="10"/>
        <v>0</v>
      </c>
      <c r="M93">
        <f t="shared" si="11"/>
        <v>0</v>
      </c>
      <c r="N93" s="16">
        <f t="shared" si="12"/>
        <v>0</v>
      </c>
      <c r="O93" s="16"/>
      <c r="P93" s="17">
        <f t="shared" si="13"/>
        <v>0</v>
      </c>
      <c r="Q93">
        <f>Q92/(1+Assumptions!$E$8/12)</f>
        <v>0.79469122760186794</v>
      </c>
      <c r="S93" s="17">
        <f t="shared" si="14"/>
        <v>0</v>
      </c>
      <c r="T93" s="17">
        <f>T92*(1+$K$24)*Z93</f>
        <v>0</v>
      </c>
      <c r="U93" s="17">
        <f t="shared" si="15"/>
        <v>0</v>
      </c>
      <c r="V93" s="17">
        <f t="shared" si="16"/>
        <v>0</v>
      </c>
      <c r="W93" s="17">
        <f t="shared" si="17"/>
        <v>0</v>
      </c>
      <c r="Y93">
        <f>(MONTH(E93)=MONTH(Assumptions!$E$6))*(YEAR(Assumptions!$E$6)=YEAR('Rent v Mortgage'!E93))</f>
        <v>0</v>
      </c>
      <c r="Z93">
        <f>--(SUM($Y$28:Y92)&lt;1)*AA93</f>
        <v>0</v>
      </c>
      <c r="AA93">
        <f t="shared" si="18"/>
        <v>1</v>
      </c>
      <c r="AB93" s="20"/>
      <c r="AC93">
        <f t="shared" si="19"/>
        <v>65</v>
      </c>
      <c r="AD93">
        <f t="shared" si="20"/>
        <v>2030</v>
      </c>
      <c r="AE93" s="12">
        <f t="shared" si="21"/>
        <v>47818</v>
      </c>
      <c r="AG93" s="19">
        <f t="shared" si="22"/>
        <v>0</v>
      </c>
      <c r="AH93" s="19">
        <f t="shared" si="23"/>
        <v>0</v>
      </c>
      <c r="AI93" s="19">
        <f t="shared" si="24"/>
        <v>0</v>
      </c>
      <c r="AK93" s="19">
        <f t="shared" si="25"/>
        <v>0</v>
      </c>
      <c r="AL93" s="19">
        <f ca="1">(IF(MOD(AC93,($AE$15*12)),0,$AG93-IFERROR(SUM(OFFSET(AL92,,,-$AE$15*12)),0))-SUM($AL$28:AL92)*(Z94=0))*(Z93=1)</f>
        <v>0</v>
      </c>
      <c r="AM93" s="19">
        <f t="shared" si="26"/>
        <v>0</v>
      </c>
      <c r="AN93" s="19">
        <f t="shared" si="27"/>
        <v>0</v>
      </c>
      <c r="AP93" s="19">
        <f t="shared" ref="AP93:AP156" ca="1" si="28">SUM(AG93:AN93)*-1</f>
        <v>0</v>
      </c>
      <c r="AQ93" s="18">
        <f t="shared" ref="AQ93:AQ156" si="29">Q93</f>
        <v>0.79469122760186794</v>
      </c>
    </row>
    <row r="94" spans="3:43" x14ac:dyDescent="0.25">
      <c r="C94">
        <f t="shared" ref="C94:C157" si="30">C93+1</f>
        <v>66</v>
      </c>
      <c r="D94">
        <f t="shared" ref="D94:D157" si="31">DATEDIF($E$28,E94,"y")</f>
        <v>5</v>
      </c>
      <c r="E94" s="12">
        <f t="shared" ref="E94:E157" si="32">EDATE(E93,1)</f>
        <v>47849</v>
      </c>
      <c r="F94" s="12"/>
      <c r="G94" s="15">
        <f t="shared" ref="G94:G157" si="33">IF(Z94,-PPMT($H$8/12,C94,$H$7*12,$H$5*(1-$H$9)),0)</f>
        <v>0</v>
      </c>
      <c r="H94" s="15">
        <f t="shared" ref="H94:H157" si="34">IF(Z94,($H$6-G94),0)</f>
        <v>0</v>
      </c>
      <c r="I94" s="15"/>
      <c r="J94" s="16">
        <f t="shared" ref="J94:J157" si="35">IF(Z94,($H$15*$H$5/12),0)</f>
        <v>0</v>
      </c>
      <c r="K94" s="16">
        <f t="shared" ref="K94:K157" si="36">IF(Z94,($H$14*$H$5/12),0)</f>
        <v>0</v>
      </c>
      <c r="L94">
        <f t="shared" ref="L94:L157" si="37">IF(MOD(C94,12),0,$H$16*T94)*Z94</f>
        <v>0</v>
      </c>
      <c r="M94">
        <f t="shared" ref="M94:M157" si="38">IF(MOD(C94,3),0,$H$13*S94/4)*Z94</f>
        <v>0</v>
      </c>
      <c r="N94" s="16">
        <f t="shared" ref="N94:N157" si="39">$H$21*Z94*$H$20</f>
        <v>0</v>
      </c>
      <c r="O94" s="16"/>
      <c r="P94" s="17">
        <f t="shared" ref="P94:P157" si="40">-SUM(G94:N94)+Y94*W94</f>
        <v>0</v>
      </c>
      <c r="Q94">
        <f>Q93/(1+Assumptions!$E$8/12)</f>
        <v>0.79188662912372132</v>
      </c>
      <c r="S94" s="17">
        <f t="shared" ref="S94:S157" si="41">IF(MOD(C94,12),S93,T94)*Z94</f>
        <v>0</v>
      </c>
      <c r="T94" s="17">
        <f>T93*(1+$K$24)*Z94</f>
        <v>0</v>
      </c>
      <c r="U94" s="17">
        <f t="shared" ref="U94:U157" si="42">V93*Z94</f>
        <v>0</v>
      </c>
      <c r="V94" s="17">
        <f t="shared" ref="V94:V157" si="43">U94-G94</f>
        <v>0</v>
      </c>
      <c r="W94" s="17">
        <f t="shared" ref="W94:W157" si="44">T94-V94</f>
        <v>0</v>
      </c>
      <c r="Y94">
        <f>(MONTH(E94)=MONTH(Assumptions!$E$6))*(YEAR(Assumptions!$E$6)=YEAR('Rent v Mortgage'!E94))</f>
        <v>0</v>
      </c>
      <c r="Z94">
        <f>--(SUM($Y$28:Y93)&lt;1)*AA94</f>
        <v>0</v>
      </c>
      <c r="AA94">
        <f t="shared" ref="AA94:AA157" si="45">(C94&lt;=$H$7*12)*1</f>
        <v>1</v>
      </c>
      <c r="AB94" s="20"/>
      <c r="AC94">
        <f t="shared" ref="AC94:AC157" si="46">C94</f>
        <v>66</v>
      </c>
      <c r="AD94">
        <f t="shared" ref="AD94:AD157" si="47">YEAR(AE94)</f>
        <v>2031</v>
      </c>
      <c r="AE94" s="12">
        <f t="shared" ref="AE94:AE157" si="48">E94</f>
        <v>47849</v>
      </c>
      <c r="AG94" s="19">
        <f t="shared" ref="AG94:AG157" si="49">AG93*(1+$AE$18*(MOD(AC94,12)=0))*Z94</f>
        <v>0</v>
      </c>
      <c r="AH94" s="19">
        <f t="shared" ref="AH94:AH157" si="50">$AE$7*$AG93*Z94</f>
        <v>0</v>
      </c>
      <c r="AI94" s="19">
        <f t="shared" ref="AI94:AI157" si="51">IF(MOD(AC94,12),0,$AE$8)*Z94</f>
        <v>0</v>
      </c>
      <c r="AK94" s="19">
        <f t="shared" ref="AK94:AK157" si="52">IF(MOD(AC94,($AE$15*12)),0,$AE$11)*Z94</f>
        <v>0</v>
      </c>
      <c r="AL94" s="19">
        <f ca="1">(IF(MOD(AC94,($AE$15*12)),0,$AG94-IFERROR(SUM(OFFSET(AL93,,,-$AE$15*12)),0))-SUM($AL$28:AL93)*(Z95=0))*(Z94=1)</f>
        <v>0</v>
      </c>
      <c r="AM94" s="19">
        <f t="shared" ref="AM94:AM157" si="53">IF(MOD(AC94,($AE$15*12)),0,$AE$13)*Z94</f>
        <v>0</v>
      </c>
      <c r="AN94" s="19">
        <f t="shared" ref="AN94:AN157" si="54">AG94*$AE$17*(Z95=0)</f>
        <v>0</v>
      </c>
      <c r="AP94" s="19">
        <f t="shared" ca="1" si="28"/>
        <v>0</v>
      </c>
      <c r="AQ94" s="18">
        <f t="shared" si="29"/>
        <v>0.79188662912372132</v>
      </c>
    </row>
    <row r="95" spans="3:43" x14ac:dyDescent="0.25">
      <c r="C95">
        <f t="shared" si="30"/>
        <v>67</v>
      </c>
      <c r="D95">
        <f t="shared" si="31"/>
        <v>5</v>
      </c>
      <c r="E95" s="12">
        <f t="shared" si="32"/>
        <v>47880</v>
      </c>
      <c r="F95" s="12"/>
      <c r="G95" s="15">
        <f t="shared" si="33"/>
        <v>0</v>
      </c>
      <c r="H95" s="15">
        <f t="shared" si="34"/>
        <v>0</v>
      </c>
      <c r="I95" s="15"/>
      <c r="J95" s="16">
        <f t="shared" si="35"/>
        <v>0</v>
      </c>
      <c r="K95" s="16">
        <f t="shared" si="36"/>
        <v>0</v>
      </c>
      <c r="L95">
        <f t="shared" si="37"/>
        <v>0</v>
      </c>
      <c r="M95">
        <f t="shared" si="38"/>
        <v>0</v>
      </c>
      <c r="N95" s="16">
        <f t="shared" si="39"/>
        <v>0</v>
      </c>
      <c r="O95" s="16"/>
      <c r="P95" s="17">
        <f t="shared" si="40"/>
        <v>0</v>
      </c>
      <c r="Q95">
        <f>Q94/(1+Assumptions!$E$8/12)</f>
        <v>0.78909192854346311</v>
      </c>
      <c r="S95" s="17">
        <f t="shared" si="41"/>
        <v>0</v>
      </c>
      <c r="T95" s="17">
        <f>T94*(1+$K$24)*Z95</f>
        <v>0</v>
      </c>
      <c r="U95" s="17">
        <f t="shared" si="42"/>
        <v>0</v>
      </c>
      <c r="V95" s="17">
        <f t="shared" si="43"/>
        <v>0</v>
      </c>
      <c r="W95" s="17">
        <f t="shared" si="44"/>
        <v>0</v>
      </c>
      <c r="Y95">
        <f>(MONTH(E95)=MONTH(Assumptions!$E$6))*(YEAR(Assumptions!$E$6)=YEAR('Rent v Mortgage'!E95))</f>
        <v>0</v>
      </c>
      <c r="Z95">
        <f>--(SUM($Y$28:Y94)&lt;1)*AA95</f>
        <v>0</v>
      </c>
      <c r="AA95">
        <f t="shared" si="45"/>
        <v>1</v>
      </c>
      <c r="AB95" s="20"/>
      <c r="AC95">
        <f t="shared" si="46"/>
        <v>67</v>
      </c>
      <c r="AD95">
        <f t="shared" si="47"/>
        <v>2031</v>
      </c>
      <c r="AE95" s="12">
        <f t="shared" si="48"/>
        <v>47880</v>
      </c>
      <c r="AG95" s="19">
        <f t="shared" si="49"/>
        <v>0</v>
      </c>
      <c r="AH95" s="19">
        <f t="shared" si="50"/>
        <v>0</v>
      </c>
      <c r="AI95" s="19">
        <f t="shared" si="51"/>
        <v>0</v>
      </c>
      <c r="AK95" s="19">
        <f t="shared" si="52"/>
        <v>0</v>
      </c>
      <c r="AL95" s="19">
        <f ca="1">(IF(MOD(AC95,($AE$15*12)),0,$AG95-IFERROR(SUM(OFFSET(AL94,,,-$AE$15*12)),0))-SUM($AL$28:AL94)*(Z96=0))*(Z95=1)</f>
        <v>0</v>
      </c>
      <c r="AM95" s="19">
        <f t="shared" si="53"/>
        <v>0</v>
      </c>
      <c r="AN95" s="19">
        <f t="shared" si="54"/>
        <v>0</v>
      </c>
      <c r="AP95" s="19">
        <f t="shared" ca="1" si="28"/>
        <v>0</v>
      </c>
      <c r="AQ95" s="18">
        <f t="shared" si="29"/>
        <v>0.78909192854346311</v>
      </c>
    </row>
    <row r="96" spans="3:43" x14ac:dyDescent="0.25">
      <c r="C96">
        <f t="shared" si="30"/>
        <v>68</v>
      </c>
      <c r="D96">
        <f t="shared" si="31"/>
        <v>5</v>
      </c>
      <c r="E96" s="12">
        <f t="shared" si="32"/>
        <v>47908</v>
      </c>
      <c r="F96" s="12"/>
      <c r="G96" s="15">
        <f t="shared" si="33"/>
        <v>0</v>
      </c>
      <c r="H96" s="15">
        <f t="shared" si="34"/>
        <v>0</v>
      </c>
      <c r="I96" s="15"/>
      <c r="J96" s="16">
        <f t="shared" si="35"/>
        <v>0</v>
      </c>
      <c r="K96" s="16">
        <f t="shared" si="36"/>
        <v>0</v>
      </c>
      <c r="L96">
        <f t="shared" si="37"/>
        <v>0</v>
      </c>
      <c r="M96">
        <f t="shared" si="38"/>
        <v>0</v>
      </c>
      <c r="N96" s="16">
        <f t="shared" si="39"/>
        <v>0</v>
      </c>
      <c r="O96" s="16"/>
      <c r="P96" s="17">
        <f t="shared" si="40"/>
        <v>0</v>
      </c>
      <c r="Q96">
        <f>Q95/(1+Assumptions!$E$8/12)</f>
        <v>0.78630709092975348</v>
      </c>
      <c r="S96" s="17">
        <f t="shared" si="41"/>
        <v>0</v>
      </c>
      <c r="T96" s="17">
        <f>T95*(1+$K$24)*Z96</f>
        <v>0</v>
      </c>
      <c r="U96" s="17">
        <f t="shared" si="42"/>
        <v>0</v>
      </c>
      <c r="V96" s="17">
        <f t="shared" si="43"/>
        <v>0</v>
      </c>
      <c r="W96" s="17">
        <f t="shared" si="44"/>
        <v>0</v>
      </c>
      <c r="Y96">
        <f>(MONTH(E96)=MONTH(Assumptions!$E$6))*(YEAR(Assumptions!$E$6)=YEAR('Rent v Mortgage'!E96))</f>
        <v>0</v>
      </c>
      <c r="Z96">
        <f>--(SUM($Y$28:Y95)&lt;1)*AA96</f>
        <v>0</v>
      </c>
      <c r="AA96">
        <f t="shared" si="45"/>
        <v>1</v>
      </c>
      <c r="AB96" s="20"/>
      <c r="AC96">
        <f t="shared" si="46"/>
        <v>68</v>
      </c>
      <c r="AD96">
        <f t="shared" si="47"/>
        <v>2031</v>
      </c>
      <c r="AE96" s="12">
        <f t="shared" si="48"/>
        <v>47908</v>
      </c>
      <c r="AG96" s="19">
        <f t="shared" si="49"/>
        <v>0</v>
      </c>
      <c r="AH96" s="19">
        <f t="shared" si="50"/>
        <v>0</v>
      </c>
      <c r="AI96" s="19">
        <f t="shared" si="51"/>
        <v>0</v>
      </c>
      <c r="AK96" s="19">
        <f t="shared" si="52"/>
        <v>0</v>
      </c>
      <c r="AL96" s="19">
        <f ca="1">(IF(MOD(AC96,($AE$15*12)),0,$AG96-IFERROR(SUM(OFFSET(AL95,,,-$AE$15*12)),0))-SUM($AL$28:AL95)*(Z97=0))*(Z96=1)</f>
        <v>0</v>
      </c>
      <c r="AM96" s="19">
        <f t="shared" si="53"/>
        <v>0</v>
      </c>
      <c r="AN96" s="19">
        <f t="shared" si="54"/>
        <v>0</v>
      </c>
      <c r="AP96" s="19">
        <f t="shared" ca="1" si="28"/>
        <v>0</v>
      </c>
      <c r="AQ96" s="18">
        <f t="shared" si="29"/>
        <v>0.78630709092975348</v>
      </c>
    </row>
    <row r="97" spans="3:43" x14ac:dyDescent="0.25">
      <c r="C97">
        <f t="shared" si="30"/>
        <v>69</v>
      </c>
      <c r="D97">
        <f t="shared" si="31"/>
        <v>5</v>
      </c>
      <c r="E97" s="12">
        <f t="shared" si="32"/>
        <v>47939</v>
      </c>
      <c r="F97" s="12"/>
      <c r="G97" s="15">
        <f t="shared" si="33"/>
        <v>0</v>
      </c>
      <c r="H97" s="15">
        <f t="shared" si="34"/>
        <v>0</v>
      </c>
      <c r="I97" s="15"/>
      <c r="J97" s="16">
        <f t="shared" si="35"/>
        <v>0</v>
      </c>
      <c r="K97" s="16">
        <f t="shared" si="36"/>
        <v>0</v>
      </c>
      <c r="L97">
        <f t="shared" si="37"/>
        <v>0</v>
      </c>
      <c r="M97">
        <f t="shared" si="38"/>
        <v>0</v>
      </c>
      <c r="N97" s="16">
        <f t="shared" si="39"/>
        <v>0</v>
      </c>
      <c r="O97" s="16"/>
      <c r="P97" s="17">
        <f t="shared" si="40"/>
        <v>0</v>
      </c>
      <c r="Q97">
        <f>Q96/(1+Assumptions!$E$8/12)</f>
        <v>0.78353208147453113</v>
      </c>
      <c r="S97" s="17">
        <f t="shared" si="41"/>
        <v>0</v>
      </c>
      <c r="T97" s="17">
        <f>T96*(1+$K$24)*Z97</f>
        <v>0</v>
      </c>
      <c r="U97" s="17">
        <f t="shared" si="42"/>
        <v>0</v>
      </c>
      <c r="V97" s="17">
        <f t="shared" si="43"/>
        <v>0</v>
      </c>
      <c r="W97" s="17">
        <f t="shared" si="44"/>
        <v>0</v>
      </c>
      <c r="Y97">
        <f>(MONTH(E97)=MONTH(Assumptions!$E$6))*(YEAR(Assumptions!$E$6)=YEAR('Rent v Mortgage'!E97))</f>
        <v>0</v>
      </c>
      <c r="Z97">
        <f>--(SUM($Y$28:Y96)&lt;1)*AA97</f>
        <v>0</v>
      </c>
      <c r="AA97">
        <f t="shared" si="45"/>
        <v>1</v>
      </c>
      <c r="AB97" s="20"/>
      <c r="AC97">
        <f t="shared" si="46"/>
        <v>69</v>
      </c>
      <c r="AD97">
        <f t="shared" si="47"/>
        <v>2031</v>
      </c>
      <c r="AE97" s="12">
        <f t="shared" si="48"/>
        <v>47939</v>
      </c>
      <c r="AG97" s="19">
        <f t="shared" si="49"/>
        <v>0</v>
      </c>
      <c r="AH97" s="19">
        <f t="shared" si="50"/>
        <v>0</v>
      </c>
      <c r="AI97" s="19">
        <f t="shared" si="51"/>
        <v>0</v>
      </c>
      <c r="AK97" s="19">
        <f t="shared" si="52"/>
        <v>0</v>
      </c>
      <c r="AL97" s="19">
        <f ca="1">(IF(MOD(AC97,($AE$15*12)),0,$AG97-IFERROR(SUM(OFFSET(AL96,,,-$AE$15*12)),0))-SUM($AL$28:AL96)*(Z98=0))*(Z97=1)</f>
        <v>0</v>
      </c>
      <c r="AM97" s="19">
        <f t="shared" si="53"/>
        <v>0</v>
      </c>
      <c r="AN97" s="19">
        <f t="shared" si="54"/>
        <v>0</v>
      </c>
      <c r="AP97" s="19">
        <f t="shared" ca="1" si="28"/>
        <v>0</v>
      </c>
      <c r="AQ97" s="18">
        <f t="shared" si="29"/>
        <v>0.78353208147453113</v>
      </c>
    </row>
    <row r="98" spans="3:43" x14ac:dyDescent="0.25">
      <c r="C98">
        <f t="shared" si="30"/>
        <v>70</v>
      </c>
      <c r="D98">
        <f t="shared" si="31"/>
        <v>5</v>
      </c>
      <c r="E98" s="12">
        <f t="shared" si="32"/>
        <v>47969</v>
      </c>
      <c r="F98" s="12"/>
      <c r="G98" s="15">
        <f t="shared" si="33"/>
        <v>0</v>
      </c>
      <c r="H98" s="15">
        <f t="shared" si="34"/>
        <v>0</v>
      </c>
      <c r="I98" s="15"/>
      <c r="J98" s="16">
        <f t="shared" si="35"/>
        <v>0</v>
      </c>
      <c r="K98" s="16">
        <f t="shared" si="36"/>
        <v>0</v>
      </c>
      <c r="L98">
        <f t="shared" si="37"/>
        <v>0</v>
      </c>
      <c r="M98">
        <f t="shared" si="38"/>
        <v>0</v>
      </c>
      <c r="N98" s="16">
        <f t="shared" si="39"/>
        <v>0</v>
      </c>
      <c r="O98" s="16"/>
      <c r="P98" s="17">
        <f t="shared" si="40"/>
        <v>0</v>
      </c>
      <c r="Q98">
        <f>Q97/(1+Assumptions!$E$8/12)</f>
        <v>0.78076686549257812</v>
      </c>
      <c r="S98" s="17">
        <f t="shared" si="41"/>
        <v>0</v>
      </c>
      <c r="T98" s="17">
        <f>T97*(1+$K$24)*Z98</f>
        <v>0</v>
      </c>
      <c r="U98" s="17">
        <f t="shared" si="42"/>
        <v>0</v>
      </c>
      <c r="V98" s="17">
        <f t="shared" si="43"/>
        <v>0</v>
      </c>
      <c r="W98" s="17">
        <f t="shared" si="44"/>
        <v>0</v>
      </c>
      <c r="Y98">
        <f>(MONTH(E98)=MONTH(Assumptions!$E$6))*(YEAR(Assumptions!$E$6)=YEAR('Rent v Mortgage'!E98))</f>
        <v>0</v>
      </c>
      <c r="Z98">
        <f>--(SUM($Y$28:Y97)&lt;1)*AA98</f>
        <v>0</v>
      </c>
      <c r="AA98">
        <f t="shared" si="45"/>
        <v>1</v>
      </c>
      <c r="AB98" s="20"/>
      <c r="AC98">
        <f t="shared" si="46"/>
        <v>70</v>
      </c>
      <c r="AD98">
        <f t="shared" si="47"/>
        <v>2031</v>
      </c>
      <c r="AE98" s="12">
        <f t="shared" si="48"/>
        <v>47969</v>
      </c>
      <c r="AG98" s="19">
        <f t="shared" si="49"/>
        <v>0</v>
      </c>
      <c r="AH98" s="19">
        <f t="shared" si="50"/>
        <v>0</v>
      </c>
      <c r="AI98" s="19">
        <f t="shared" si="51"/>
        <v>0</v>
      </c>
      <c r="AK98" s="19">
        <f t="shared" si="52"/>
        <v>0</v>
      </c>
      <c r="AL98" s="19">
        <f ca="1">(IF(MOD(AC98,($AE$15*12)),0,$AG98-IFERROR(SUM(OFFSET(AL97,,,-$AE$15*12)),0))-SUM($AL$28:AL97)*(Z99=0))*(Z98=1)</f>
        <v>0</v>
      </c>
      <c r="AM98" s="19">
        <f t="shared" si="53"/>
        <v>0</v>
      </c>
      <c r="AN98" s="19">
        <f t="shared" si="54"/>
        <v>0</v>
      </c>
      <c r="AP98" s="19">
        <f t="shared" ca="1" si="28"/>
        <v>0</v>
      </c>
      <c r="AQ98" s="18">
        <f t="shared" si="29"/>
        <v>0.78076686549257812</v>
      </c>
    </row>
    <row r="99" spans="3:43" x14ac:dyDescent="0.25">
      <c r="C99">
        <f t="shared" si="30"/>
        <v>71</v>
      </c>
      <c r="D99">
        <f t="shared" si="31"/>
        <v>5</v>
      </c>
      <c r="E99" s="12">
        <f t="shared" si="32"/>
        <v>48000</v>
      </c>
      <c r="F99" s="12"/>
      <c r="G99" s="15">
        <f t="shared" si="33"/>
        <v>0</v>
      </c>
      <c r="H99" s="15">
        <f t="shared" si="34"/>
        <v>0</v>
      </c>
      <c r="I99" s="15"/>
      <c r="J99" s="16">
        <f t="shared" si="35"/>
        <v>0</v>
      </c>
      <c r="K99" s="16">
        <f t="shared" si="36"/>
        <v>0</v>
      </c>
      <c r="L99">
        <f t="shared" si="37"/>
        <v>0</v>
      </c>
      <c r="M99">
        <f t="shared" si="38"/>
        <v>0</v>
      </c>
      <c r="N99" s="16">
        <f t="shared" si="39"/>
        <v>0</v>
      </c>
      <c r="O99" s="16"/>
      <c r="P99" s="17">
        <f t="shared" si="40"/>
        <v>0</v>
      </c>
      <c r="Q99">
        <f>Q98/(1+Assumptions!$E$8/12)</f>
        <v>0.77801140842108674</v>
      </c>
      <c r="S99" s="17">
        <f t="shared" si="41"/>
        <v>0</v>
      </c>
      <c r="T99" s="17">
        <f>T98*(1+$K$24)*Z99</f>
        <v>0</v>
      </c>
      <c r="U99" s="17">
        <f t="shared" si="42"/>
        <v>0</v>
      </c>
      <c r="V99" s="17">
        <f t="shared" si="43"/>
        <v>0</v>
      </c>
      <c r="W99" s="17">
        <f t="shared" si="44"/>
        <v>0</v>
      </c>
      <c r="Y99">
        <f>(MONTH(E99)=MONTH(Assumptions!$E$6))*(YEAR(Assumptions!$E$6)=YEAR('Rent v Mortgage'!E99))</f>
        <v>0</v>
      </c>
      <c r="Z99">
        <f>--(SUM($Y$28:Y98)&lt;1)*AA99</f>
        <v>0</v>
      </c>
      <c r="AA99">
        <f t="shared" si="45"/>
        <v>1</v>
      </c>
      <c r="AB99" s="20"/>
      <c r="AC99">
        <f t="shared" si="46"/>
        <v>71</v>
      </c>
      <c r="AD99">
        <f t="shared" si="47"/>
        <v>2031</v>
      </c>
      <c r="AE99" s="12">
        <f t="shared" si="48"/>
        <v>48000</v>
      </c>
      <c r="AG99" s="19">
        <f t="shared" si="49"/>
        <v>0</v>
      </c>
      <c r="AH99" s="19">
        <f t="shared" si="50"/>
        <v>0</v>
      </c>
      <c r="AI99" s="19">
        <f t="shared" si="51"/>
        <v>0</v>
      </c>
      <c r="AK99" s="19">
        <f t="shared" si="52"/>
        <v>0</v>
      </c>
      <c r="AL99" s="19">
        <f ca="1">(IF(MOD(AC99,($AE$15*12)),0,$AG99-IFERROR(SUM(OFFSET(AL98,,,-$AE$15*12)),0))-SUM($AL$28:AL98)*(Z100=0))*(Z99=1)</f>
        <v>0</v>
      </c>
      <c r="AM99" s="19">
        <f t="shared" si="53"/>
        <v>0</v>
      </c>
      <c r="AN99" s="19">
        <f t="shared" si="54"/>
        <v>0</v>
      </c>
      <c r="AP99" s="19">
        <f t="shared" ca="1" si="28"/>
        <v>0</v>
      </c>
      <c r="AQ99" s="18">
        <f t="shared" si="29"/>
        <v>0.77801140842108674</v>
      </c>
    </row>
    <row r="100" spans="3:43" x14ac:dyDescent="0.25">
      <c r="C100">
        <f t="shared" si="30"/>
        <v>72</v>
      </c>
      <c r="D100">
        <f t="shared" si="31"/>
        <v>6</v>
      </c>
      <c r="E100" s="12">
        <f t="shared" si="32"/>
        <v>48030</v>
      </c>
      <c r="F100" s="12"/>
      <c r="G100" s="15">
        <f t="shared" si="33"/>
        <v>0</v>
      </c>
      <c r="H100" s="15">
        <f t="shared" si="34"/>
        <v>0</v>
      </c>
      <c r="I100" s="15"/>
      <c r="J100" s="16">
        <f t="shared" si="35"/>
        <v>0</v>
      </c>
      <c r="K100" s="16">
        <f t="shared" si="36"/>
        <v>0</v>
      </c>
      <c r="L100">
        <f t="shared" si="37"/>
        <v>0</v>
      </c>
      <c r="M100">
        <f t="shared" si="38"/>
        <v>0</v>
      </c>
      <c r="N100" s="16">
        <f t="shared" si="39"/>
        <v>0</v>
      </c>
      <c r="O100" s="16"/>
      <c r="P100" s="17">
        <f t="shared" si="40"/>
        <v>0</v>
      </c>
      <c r="Q100">
        <f>Q99/(1+Assumptions!$E$8/12)</f>
        <v>0.7752656758192269</v>
      </c>
      <c r="S100" s="17">
        <f t="shared" si="41"/>
        <v>0</v>
      </c>
      <c r="T100" s="17">
        <f>T99*(1+$K$24)*Z100</f>
        <v>0</v>
      </c>
      <c r="U100" s="17">
        <f t="shared" si="42"/>
        <v>0</v>
      </c>
      <c r="V100" s="17">
        <f t="shared" si="43"/>
        <v>0</v>
      </c>
      <c r="W100" s="17">
        <f t="shared" si="44"/>
        <v>0</v>
      </c>
      <c r="Y100">
        <f>(MONTH(E100)=MONTH(Assumptions!$E$6))*(YEAR(Assumptions!$E$6)=YEAR('Rent v Mortgage'!E100))</f>
        <v>0</v>
      </c>
      <c r="Z100">
        <f>--(SUM($Y$28:Y99)&lt;1)*AA100</f>
        <v>0</v>
      </c>
      <c r="AA100">
        <f t="shared" si="45"/>
        <v>1</v>
      </c>
      <c r="AB100" s="20"/>
      <c r="AC100">
        <f t="shared" si="46"/>
        <v>72</v>
      </c>
      <c r="AD100">
        <f t="shared" si="47"/>
        <v>2031</v>
      </c>
      <c r="AE100" s="12">
        <f t="shared" si="48"/>
        <v>48030</v>
      </c>
      <c r="AG100" s="19">
        <f t="shared" si="49"/>
        <v>0</v>
      </c>
      <c r="AH100" s="19">
        <f t="shared" si="50"/>
        <v>0</v>
      </c>
      <c r="AI100" s="19">
        <f t="shared" si="51"/>
        <v>0</v>
      </c>
      <c r="AK100" s="19">
        <f t="shared" si="52"/>
        <v>0</v>
      </c>
      <c r="AL100" s="19">
        <f ca="1">(IF(MOD(AC100,($AE$15*12)),0,$AG100-IFERROR(SUM(OFFSET(AL99,,,-$AE$15*12)),0))-SUM($AL$28:AL99)*(Z101=0))*(Z100=1)</f>
        <v>0</v>
      </c>
      <c r="AM100" s="19">
        <f t="shared" si="53"/>
        <v>0</v>
      </c>
      <c r="AN100" s="19">
        <f t="shared" si="54"/>
        <v>0</v>
      </c>
      <c r="AP100" s="19">
        <f t="shared" ca="1" si="28"/>
        <v>0</v>
      </c>
      <c r="AQ100" s="18">
        <f t="shared" si="29"/>
        <v>0.7752656758192269</v>
      </c>
    </row>
    <row r="101" spans="3:43" x14ac:dyDescent="0.25">
      <c r="C101">
        <f t="shared" si="30"/>
        <v>73</v>
      </c>
      <c r="D101">
        <f t="shared" si="31"/>
        <v>6</v>
      </c>
      <c r="E101" s="12">
        <f t="shared" si="32"/>
        <v>48061</v>
      </c>
      <c r="F101" s="12"/>
      <c r="G101" s="15">
        <f t="shared" si="33"/>
        <v>0</v>
      </c>
      <c r="H101" s="15">
        <f t="shared" si="34"/>
        <v>0</v>
      </c>
      <c r="I101" s="15"/>
      <c r="J101" s="16">
        <f t="shared" si="35"/>
        <v>0</v>
      </c>
      <c r="K101" s="16">
        <f t="shared" si="36"/>
        <v>0</v>
      </c>
      <c r="L101">
        <f t="shared" si="37"/>
        <v>0</v>
      </c>
      <c r="M101">
        <f t="shared" si="38"/>
        <v>0</v>
      </c>
      <c r="N101" s="16">
        <f t="shared" si="39"/>
        <v>0</v>
      </c>
      <c r="O101" s="16"/>
      <c r="P101" s="17">
        <f t="shared" si="40"/>
        <v>0</v>
      </c>
      <c r="Q101">
        <f>Q100/(1+Assumptions!$E$8/12)</f>
        <v>0.77252963336771618</v>
      </c>
      <c r="S101" s="17">
        <f t="shared" si="41"/>
        <v>0</v>
      </c>
      <c r="T101" s="17">
        <f>T100*(1+$K$24)*Z101</f>
        <v>0</v>
      </c>
      <c r="U101" s="17">
        <f t="shared" si="42"/>
        <v>0</v>
      </c>
      <c r="V101" s="17">
        <f t="shared" si="43"/>
        <v>0</v>
      </c>
      <c r="W101" s="17">
        <f t="shared" si="44"/>
        <v>0</v>
      </c>
      <c r="Y101">
        <f>(MONTH(E101)=MONTH(Assumptions!$E$6))*(YEAR(Assumptions!$E$6)=YEAR('Rent v Mortgage'!E101))</f>
        <v>0</v>
      </c>
      <c r="Z101">
        <f>--(SUM($Y$28:Y100)&lt;1)*AA101</f>
        <v>0</v>
      </c>
      <c r="AA101">
        <f t="shared" si="45"/>
        <v>1</v>
      </c>
      <c r="AB101" s="20"/>
      <c r="AC101">
        <f t="shared" si="46"/>
        <v>73</v>
      </c>
      <c r="AD101">
        <f t="shared" si="47"/>
        <v>2031</v>
      </c>
      <c r="AE101" s="12">
        <f t="shared" si="48"/>
        <v>48061</v>
      </c>
      <c r="AG101" s="19">
        <f t="shared" si="49"/>
        <v>0</v>
      </c>
      <c r="AH101" s="19">
        <f t="shared" si="50"/>
        <v>0</v>
      </c>
      <c r="AI101" s="19">
        <f t="shared" si="51"/>
        <v>0</v>
      </c>
      <c r="AK101" s="19">
        <f t="shared" si="52"/>
        <v>0</v>
      </c>
      <c r="AL101" s="19">
        <f ca="1">(IF(MOD(AC101,($AE$15*12)),0,$AG101-IFERROR(SUM(OFFSET(AL100,,,-$AE$15*12)),0))-SUM($AL$28:AL100)*(Z102=0))*(Z101=1)</f>
        <v>0</v>
      </c>
      <c r="AM101" s="19">
        <f t="shared" si="53"/>
        <v>0</v>
      </c>
      <c r="AN101" s="19">
        <f t="shared" si="54"/>
        <v>0</v>
      </c>
      <c r="AP101" s="19">
        <f t="shared" ca="1" si="28"/>
        <v>0</v>
      </c>
      <c r="AQ101" s="18">
        <f t="shared" si="29"/>
        <v>0.77252963336771618</v>
      </c>
    </row>
    <row r="102" spans="3:43" x14ac:dyDescent="0.25">
      <c r="C102">
        <f t="shared" si="30"/>
        <v>74</v>
      </c>
      <c r="D102">
        <f t="shared" si="31"/>
        <v>6</v>
      </c>
      <c r="E102" s="12">
        <f t="shared" si="32"/>
        <v>48092</v>
      </c>
      <c r="F102" s="12"/>
      <c r="G102" s="15">
        <f t="shared" si="33"/>
        <v>0</v>
      </c>
      <c r="H102" s="15">
        <f t="shared" si="34"/>
        <v>0</v>
      </c>
      <c r="I102" s="15"/>
      <c r="J102" s="16">
        <f t="shared" si="35"/>
        <v>0</v>
      </c>
      <c r="K102" s="16">
        <f t="shared" si="36"/>
        <v>0</v>
      </c>
      <c r="L102">
        <f t="shared" si="37"/>
        <v>0</v>
      </c>
      <c r="M102">
        <f t="shared" si="38"/>
        <v>0</v>
      </c>
      <c r="N102" s="16">
        <f t="shared" si="39"/>
        <v>0</v>
      </c>
      <c r="O102" s="16"/>
      <c r="P102" s="17">
        <f t="shared" si="40"/>
        <v>0</v>
      </c>
      <c r="Q102">
        <f>Q101/(1+Assumptions!$E$8/12)</f>
        <v>0.76980324686839052</v>
      </c>
      <c r="S102" s="17">
        <f t="shared" si="41"/>
        <v>0</v>
      </c>
      <c r="T102" s="17">
        <f>T101*(1+$K$24)*Z102</f>
        <v>0</v>
      </c>
      <c r="U102" s="17">
        <f t="shared" si="42"/>
        <v>0</v>
      </c>
      <c r="V102" s="17">
        <f t="shared" si="43"/>
        <v>0</v>
      </c>
      <c r="W102" s="17">
        <f t="shared" si="44"/>
        <v>0</v>
      </c>
      <c r="Y102">
        <f>(MONTH(E102)=MONTH(Assumptions!$E$6))*(YEAR(Assumptions!$E$6)=YEAR('Rent v Mortgage'!E102))</f>
        <v>0</v>
      </c>
      <c r="Z102">
        <f>--(SUM($Y$28:Y101)&lt;1)*AA102</f>
        <v>0</v>
      </c>
      <c r="AA102">
        <f t="shared" si="45"/>
        <v>1</v>
      </c>
      <c r="AB102" s="20"/>
      <c r="AC102">
        <f t="shared" si="46"/>
        <v>74</v>
      </c>
      <c r="AD102">
        <f t="shared" si="47"/>
        <v>2031</v>
      </c>
      <c r="AE102" s="12">
        <f t="shared" si="48"/>
        <v>48092</v>
      </c>
      <c r="AG102" s="19">
        <f t="shared" si="49"/>
        <v>0</v>
      </c>
      <c r="AH102" s="19">
        <f t="shared" si="50"/>
        <v>0</v>
      </c>
      <c r="AI102" s="19">
        <f t="shared" si="51"/>
        <v>0</v>
      </c>
      <c r="AK102" s="19">
        <f t="shared" si="52"/>
        <v>0</v>
      </c>
      <c r="AL102" s="19">
        <f ca="1">(IF(MOD(AC102,($AE$15*12)),0,$AG102-IFERROR(SUM(OFFSET(AL101,,,-$AE$15*12)),0))-SUM($AL$28:AL101)*(Z103=0))*(Z102=1)</f>
        <v>0</v>
      </c>
      <c r="AM102" s="19">
        <f t="shared" si="53"/>
        <v>0</v>
      </c>
      <c r="AN102" s="19">
        <f t="shared" si="54"/>
        <v>0</v>
      </c>
      <c r="AP102" s="19">
        <f t="shared" ca="1" si="28"/>
        <v>0</v>
      </c>
      <c r="AQ102" s="18">
        <f t="shared" si="29"/>
        <v>0.76980324686839052</v>
      </c>
    </row>
    <row r="103" spans="3:43" x14ac:dyDescent="0.25">
      <c r="C103">
        <f t="shared" si="30"/>
        <v>75</v>
      </c>
      <c r="D103">
        <f t="shared" si="31"/>
        <v>6</v>
      </c>
      <c r="E103" s="12">
        <f t="shared" si="32"/>
        <v>48122</v>
      </c>
      <c r="F103" s="12"/>
      <c r="G103" s="15">
        <f t="shared" si="33"/>
        <v>0</v>
      </c>
      <c r="H103" s="15">
        <f t="shared" si="34"/>
        <v>0</v>
      </c>
      <c r="I103" s="15"/>
      <c r="J103" s="16">
        <f t="shared" si="35"/>
        <v>0</v>
      </c>
      <c r="K103" s="16">
        <f t="shared" si="36"/>
        <v>0</v>
      </c>
      <c r="L103">
        <f t="shared" si="37"/>
        <v>0</v>
      </c>
      <c r="M103">
        <f t="shared" si="38"/>
        <v>0</v>
      </c>
      <c r="N103" s="16">
        <f t="shared" si="39"/>
        <v>0</v>
      </c>
      <c r="O103" s="16"/>
      <c r="P103" s="17">
        <f t="shared" si="40"/>
        <v>0</v>
      </c>
      <c r="Q103">
        <f>Q102/(1+Assumptions!$E$8/12)</f>
        <v>0.76708648224377707</v>
      </c>
      <c r="S103" s="17">
        <f t="shared" si="41"/>
        <v>0</v>
      </c>
      <c r="T103" s="17">
        <f>T102*(1+$K$24)*Z103</f>
        <v>0</v>
      </c>
      <c r="U103" s="17">
        <f t="shared" si="42"/>
        <v>0</v>
      </c>
      <c r="V103" s="17">
        <f t="shared" si="43"/>
        <v>0</v>
      </c>
      <c r="W103" s="17">
        <f t="shared" si="44"/>
        <v>0</v>
      </c>
      <c r="Y103">
        <f>(MONTH(E103)=MONTH(Assumptions!$E$6))*(YEAR(Assumptions!$E$6)=YEAR('Rent v Mortgage'!E103))</f>
        <v>0</v>
      </c>
      <c r="Z103">
        <f>--(SUM($Y$28:Y102)&lt;1)*AA103</f>
        <v>0</v>
      </c>
      <c r="AA103">
        <f t="shared" si="45"/>
        <v>1</v>
      </c>
      <c r="AB103" s="20"/>
      <c r="AC103">
        <f t="shared" si="46"/>
        <v>75</v>
      </c>
      <c r="AD103">
        <f t="shared" si="47"/>
        <v>2031</v>
      </c>
      <c r="AE103" s="12">
        <f t="shared" si="48"/>
        <v>48122</v>
      </c>
      <c r="AG103" s="19">
        <f t="shared" si="49"/>
        <v>0</v>
      </c>
      <c r="AH103" s="19">
        <f t="shared" si="50"/>
        <v>0</v>
      </c>
      <c r="AI103" s="19">
        <f t="shared" si="51"/>
        <v>0</v>
      </c>
      <c r="AK103" s="19">
        <f t="shared" si="52"/>
        <v>0</v>
      </c>
      <c r="AL103" s="19">
        <f ca="1">(IF(MOD(AC103,($AE$15*12)),0,$AG103-IFERROR(SUM(OFFSET(AL102,,,-$AE$15*12)),0))-SUM($AL$28:AL102)*(Z104=0))*(Z103=1)</f>
        <v>0</v>
      </c>
      <c r="AM103" s="19">
        <f t="shared" si="53"/>
        <v>0</v>
      </c>
      <c r="AN103" s="19">
        <f t="shared" si="54"/>
        <v>0</v>
      </c>
      <c r="AP103" s="19">
        <f t="shared" ca="1" si="28"/>
        <v>0</v>
      </c>
      <c r="AQ103" s="18">
        <f t="shared" si="29"/>
        <v>0.76708648224377707</v>
      </c>
    </row>
    <row r="104" spans="3:43" x14ac:dyDescent="0.25">
      <c r="C104">
        <f t="shared" si="30"/>
        <v>76</v>
      </c>
      <c r="D104">
        <f t="shared" si="31"/>
        <v>6</v>
      </c>
      <c r="E104" s="12">
        <f t="shared" si="32"/>
        <v>48153</v>
      </c>
      <c r="F104" s="12"/>
      <c r="G104" s="15">
        <f t="shared" si="33"/>
        <v>0</v>
      </c>
      <c r="H104" s="15">
        <f t="shared" si="34"/>
        <v>0</v>
      </c>
      <c r="I104" s="15"/>
      <c r="J104" s="16">
        <f t="shared" si="35"/>
        <v>0</v>
      </c>
      <c r="K104" s="16">
        <f t="shared" si="36"/>
        <v>0</v>
      </c>
      <c r="L104">
        <f t="shared" si="37"/>
        <v>0</v>
      </c>
      <c r="M104">
        <f t="shared" si="38"/>
        <v>0</v>
      </c>
      <c r="N104" s="16">
        <f t="shared" si="39"/>
        <v>0</v>
      </c>
      <c r="O104" s="16"/>
      <c r="P104" s="17">
        <f t="shared" si="40"/>
        <v>0</v>
      </c>
      <c r="Q104">
        <f>Q103/(1+Assumptions!$E$8/12)</f>
        <v>0.764379305536668</v>
      </c>
      <c r="S104" s="17">
        <f t="shared" si="41"/>
        <v>0</v>
      </c>
      <c r="T104" s="17">
        <f>T103*(1+$K$24)*Z104</f>
        <v>0</v>
      </c>
      <c r="U104" s="17">
        <f t="shared" si="42"/>
        <v>0</v>
      </c>
      <c r="V104" s="17">
        <f t="shared" si="43"/>
        <v>0</v>
      </c>
      <c r="W104" s="17">
        <f t="shared" si="44"/>
        <v>0</v>
      </c>
      <c r="Y104">
        <f>(MONTH(E104)=MONTH(Assumptions!$E$6))*(YEAR(Assumptions!$E$6)=YEAR('Rent v Mortgage'!E104))</f>
        <v>0</v>
      </c>
      <c r="Z104">
        <f>--(SUM($Y$28:Y103)&lt;1)*AA104</f>
        <v>0</v>
      </c>
      <c r="AA104">
        <f t="shared" si="45"/>
        <v>1</v>
      </c>
      <c r="AB104" s="20"/>
      <c r="AC104">
        <f t="shared" si="46"/>
        <v>76</v>
      </c>
      <c r="AD104">
        <f t="shared" si="47"/>
        <v>2031</v>
      </c>
      <c r="AE104" s="12">
        <f t="shared" si="48"/>
        <v>48153</v>
      </c>
      <c r="AG104" s="19">
        <f t="shared" si="49"/>
        <v>0</v>
      </c>
      <c r="AH104" s="19">
        <f t="shared" si="50"/>
        <v>0</v>
      </c>
      <c r="AI104" s="19">
        <f t="shared" si="51"/>
        <v>0</v>
      </c>
      <c r="AK104" s="19">
        <f t="shared" si="52"/>
        <v>0</v>
      </c>
      <c r="AL104" s="19">
        <f ca="1">(IF(MOD(AC104,($AE$15*12)),0,$AG104-IFERROR(SUM(OFFSET(AL103,,,-$AE$15*12)),0))-SUM($AL$28:AL103)*(Z105=0))*(Z104=1)</f>
        <v>0</v>
      </c>
      <c r="AM104" s="19">
        <f t="shared" si="53"/>
        <v>0</v>
      </c>
      <c r="AN104" s="19">
        <f t="shared" si="54"/>
        <v>0</v>
      </c>
      <c r="AP104" s="19">
        <f t="shared" ca="1" si="28"/>
        <v>0</v>
      </c>
      <c r="AQ104" s="18">
        <f t="shared" si="29"/>
        <v>0.764379305536668</v>
      </c>
    </row>
    <row r="105" spans="3:43" x14ac:dyDescent="0.25">
      <c r="C105">
        <f t="shared" si="30"/>
        <v>77</v>
      </c>
      <c r="D105">
        <f t="shared" si="31"/>
        <v>6</v>
      </c>
      <c r="E105" s="12">
        <f t="shared" si="32"/>
        <v>48183</v>
      </c>
      <c r="F105" s="12"/>
      <c r="G105" s="15">
        <f t="shared" si="33"/>
        <v>0</v>
      </c>
      <c r="H105" s="15">
        <f t="shared" si="34"/>
        <v>0</v>
      </c>
      <c r="I105" s="15"/>
      <c r="J105" s="16">
        <f t="shared" si="35"/>
        <v>0</v>
      </c>
      <c r="K105" s="16">
        <f t="shared" si="36"/>
        <v>0</v>
      </c>
      <c r="L105">
        <f t="shared" si="37"/>
        <v>0</v>
      </c>
      <c r="M105">
        <f t="shared" si="38"/>
        <v>0</v>
      </c>
      <c r="N105" s="16">
        <f t="shared" si="39"/>
        <v>0</v>
      </c>
      <c r="O105" s="16"/>
      <c r="P105" s="17">
        <f t="shared" si="40"/>
        <v>0</v>
      </c>
      <c r="Q105">
        <f>Q104/(1+Assumptions!$E$8/12)</f>
        <v>0.76168168290969607</v>
      </c>
      <c r="S105" s="17">
        <f t="shared" si="41"/>
        <v>0</v>
      </c>
      <c r="T105" s="17">
        <f>T104*(1+$K$24)*Z105</f>
        <v>0</v>
      </c>
      <c r="U105" s="17">
        <f t="shared" si="42"/>
        <v>0</v>
      </c>
      <c r="V105" s="17">
        <f t="shared" si="43"/>
        <v>0</v>
      </c>
      <c r="W105" s="17">
        <f t="shared" si="44"/>
        <v>0</v>
      </c>
      <c r="Y105">
        <f>(MONTH(E105)=MONTH(Assumptions!$E$6))*(YEAR(Assumptions!$E$6)=YEAR('Rent v Mortgage'!E105))</f>
        <v>0</v>
      </c>
      <c r="Z105">
        <f>--(SUM($Y$28:Y104)&lt;1)*AA105</f>
        <v>0</v>
      </c>
      <c r="AA105">
        <f t="shared" si="45"/>
        <v>1</v>
      </c>
      <c r="AB105" s="20"/>
      <c r="AC105">
        <f t="shared" si="46"/>
        <v>77</v>
      </c>
      <c r="AD105">
        <f t="shared" si="47"/>
        <v>2031</v>
      </c>
      <c r="AE105" s="12">
        <f t="shared" si="48"/>
        <v>48183</v>
      </c>
      <c r="AG105" s="19">
        <f t="shared" si="49"/>
        <v>0</v>
      </c>
      <c r="AH105" s="19">
        <f t="shared" si="50"/>
        <v>0</v>
      </c>
      <c r="AI105" s="19">
        <f t="shared" si="51"/>
        <v>0</v>
      </c>
      <c r="AK105" s="19">
        <f t="shared" si="52"/>
        <v>0</v>
      </c>
      <c r="AL105" s="19">
        <f ca="1">(IF(MOD(AC105,($AE$15*12)),0,$AG105-IFERROR(SUM(OFFSET(AL104,,,-$AE$15*12)),0))-SUM($AL$28:AL104)*(Z106=0))*(Z105=1)</f>
        <v>0</v>
      </c>
      <c r="AM105" s="19">
        <f t="shared" si="53"/>
        <v>0</v>
      </c>
      <c r="AN105" s="19">
        <f t="shared" si="54"/>
        <v>0</v>
      </c>
      <c r="AP105" s="19">
        <f t="shared" ca="1" si="28"/>
        <v>0</v>
      </c>
      <c r="AQ105" s="18">
        <f t="shared" si="29"/>
        <v>0.76168168290969607</v>
      </c>
    </row>
    <row r="106" spans="3:43" x14ac:dyDescent="0.25">
      <c r="C106">
        <f t="shared" si="30"/>
        <v>78</v>
      </c>
      <c r="D106">
        <f t="shared" si="31"/>
        <v>6</v>
      </c>
      <c r="E106" s="12">
        <f t="shared" si="32"/>
        <v>48214</v>
      </c>
      <c r="F106" s="12"/>
      <c r="G106" s="15">
        <f t="shared" si="33"/>
        <v>0</v>
      </c>
      <c r="H106" s="15">
        <f t="shared" si="34"/>
        <v>0</v>
      </c>
      <c r="I106" s="15"/>
      <c r="J106" s="16">
        <f t="shared" si="35"/>
        <v>0</v>
      </c>
      <c r="K106" s="16">
        <f t="shared" si="36"/>
        <v>0</v>
      </c>
      <c r="L106">
        <f t="shared" si="37"/>
        <v>0</v>
      </c>
      <c r="M106">
        <f t="shared" si="38"/>
        <v>0</v>
      </c>
      <c r="N106" s="16">
        <f t="shared" si="39"/>
        <v>0</v>
      </c>
      <c r="O106" s="16"/>
      <c r="P106" s="17">
        <f t="shared" si="40"/>
        <v>0</v>
      </c>
      <c r="Q106">
        <f>Q105/(1+Assumptions!$E$8/12)</f>
        <v>0.75899358064491196</v>
      </c>
      <c r="S106" s="17">
        <f t="shared" si="41"/>
        <v>0</v>
      </c>
      <c r="T106" s="17">
        <f>T105*(1+$K$24)*Z106</f>
        <v>0</v>
      </c>
      <c r="U106" s="17">
        <f t="shared" si="42"/>
        <v>0</v>
      </c>
      <c r="V106" s="17">
        <f t="shared" si="43"/>
        <v>0</v>
      </c>
      <c r="W106" s="17">
        <f t="shared" si="44"/>
        <v>0</v>
      </c>
      <c r="Y106">
        <f>(MONTH(E106)=MONTH(Assumptions!$E$6))*(YEAR(Assumptions!$E$6)=YEAR('Rent v Mortgage'!E106))</f>
        <v>0</v>
      </c>
      <c r="Z106">
        <f>--(SUM($Y$28:Y105)&lt;1)*AA106</f>
        <v>0</v>
      </c>
      <c r="AA106">
        <f t="shared" si="45"/>
        <v>1</v>
      </c>
      <c r="AB106" s="20"/>
      <c r="AC106">
        <f t="shared" si="46"/>
        <v>78</v>
      </c>
      <c r="AD106">
        <f t="shared" si="47"/>
        <v>2032</v>
      </c>
      <c r="AE106" s="12">
        <f t="shared" si="48"/>
        <v>48214</v>
      </c>
      <c r="AG106" s="19">
        <f t="shared" si="49"/>
        <v>0</v>
      </c>
      <c r="AH106" s="19">
        <f t="shared" si="50"/>
        <v>0</v>
      </c>
      <c r="AI106" s="19">
        <f t="shared" si="51"/>
        <v>0</v>
      </c>
      <c r="AK106" s="19">
        <f t="shared" si="52"/>
        <v>0</v>
      </c>
      <c r="AL106" s="19">
        <f ca="1">(IF(MOD(AC106,($AE$15*12)),0,$AG106-IFERROR(SUM(OFFSET(AL105,,,-$AE$15*12)),0))-SUM($AL$28:AL105)*(Z107=0))*(Z106=1)</f>
        <v>0</v>
      </c>
      <c r="AM106" s="19">
        <f t="shared" si="53"/>
        <v>0</v>
      </c>
      <c r="AN106" s="19">
        <f t="shared" si="54"/>
        <v>0</v>
      </c>
      <c r="AP106" s="19">
        <f t="shared" ca="1" si="28"/>
        <v>0</v>
      </c>
      <c r="AQ106" s="18">
        <f t="shared" si="29"/>
        <v>0.75899358064491196</v>
      </c>
    </row>
    <row r="107" spans="3:43" x14ac:dyDescent="0.25">
      <c r="C107">
        <f t="shared" si="30"/>
        <v>79</v>
      </c>
      <c r="D107">
        <f t="shared" si="31"/>
        <v>6</v>
      </c>
      <c r="E107" s="12">
        <f t="shared" si="32"/>
        <v>48245</v>
      </c>
      <c r="F107" s="12"/>
      <c r="G107" s="15">
        <f t="shared" si="33"/>
        <v>0</v>
      </c>
      <c r="H107" s="15">
        <f t="shared" si="34"/>
        <v>0</v>
      </c>
      <c r="I107" s="15"/>
      <c r="J107" s="16">
        <f t="shared" si="35"/>
        <v>0</v>
      </c>
      <c r="K107" s="16">
        <f t="shared" si="36"/>
        <v>0</v>
      </c>
      <c r="L107">
        <f t="shared" si="37"/>
        <v>0</v>
      </c>
      <c r="M107">
        <f t="shared" si="38"/>
        <v>0</v>
      </c>
      <c r="N107" s="16">
        <f t="shared" si="39"/>
        <v>0</v>
      </c>
      <c r="O107" s="16"/>
      <c r="P107" s="17">
        <f t="shared" si="40"/>
        <v>0</v>
      </c>
      <c r="Q107">
        <f>Q106/(1+Assumptions!$E$8/12)</f>
        <v>0.75631496514336249</v>
      </c>
      <c r="S107" s="17">
        <f t="shared" si="41"/>
        <v>0</v>
      </c>
      <c r="T107" s="17">
        <f>T106*(1+$K$24)*Z107</f>
        <v>0</v>
      </c>
      <c r="U107" s="17">
        <f t="shared" si="42"/>
        <v>0</v>
      </c>
      <c r="V107" s="17">
        <f t="shared" si="43"/>
        <v>0</v>
      </c>
      <c r="W107" s="17">
        <f t="shared" si="44"/>
        <v>0</v>
      </c>
      <c r="Y107">
        <f>(MONTH(E107)=MONTH(Assumptions!$E$6))*(YEAR(Assumptions!$E$6)=YEAR('Rent v Mortgage'!E107))</f>
        <v>0</v>
      </c>
      <c r="Z107">
        <f>--(SUM($Y$28:Y106)&lt;1)*AA107</f>
        <v>0</v>
      </c>
      <c r="AA107">
        <f t="shared" si="45"/>
        <v>1</v>
      </c>
      <c r="AB107" s="20"/>
      <c r="AC107">
        <f t="shared" si="46"/>
        <v>79</v>
      </c>
      <c r="AD107">
        <f t="shared" si="47"/>
        <v>2032</v>
      </c>
      <c r="AE107" s="12">
        <f t="shared" si="48"/>
        <v>48245</v>
      </c>
      <c r="AG107" s="19">
        <f t="shared" si="49"/>
        <v>0</v>
      </c>
      <c r="AH107" s="19">
        <f t="shared" si="50"/>
        <v>0</v>
      </c>
      <c r="AI107" s="19">
        <f t="shared" si="51"/>
        <v>0</v>
      </c>
      <c r="AK107" s="19">
        <f t="shared" si="52"/>
        <v>0</v>
      </c>
      <c r="AL107" s="19">
        <f ca="1">(IF(MOD(AC107,($AE$15*12)),0,$AG107-IFERROR(SUM(OFFSET(AL106,,,-$AE$15*12)),0))-SUM($AL$28:AL106)*(Z108=0))*(Z107=1)</f>
        <v>0</v>
      </c>
      <c r="AM107" s="19">
        <f t="shared" si="53"/>
        <v>0</v>
      </c>
      <c r="AN107" s="19">
        <f t="shared" si="54"/>
        <v>0</v>
      </c>
      <c r="AP107" s="19">
        <f t="shared" ca="1" si="28"/>
        <v>0</v>
      </c>
      <c r="AQ107" s="18">
        <f t="shared" si="29"/>
        <v>0.75631496514336249</v>
      </c>
    </row>
    <row r="108" spans="3:43" x14ac:dyDescent="0.25">
      <c r="C108">
        <f t="shared" si="30"/>
        <v>80</v>
      </c>
      <c r="D108">
        <f t="shared" si="31"/>
        <v>6</v>
      </c>
      <c r="E108" s="12">
        <f t="shared" si="32"/>
        <v>48274</v>
      </c>
      <c r="F108" s="12"/>
      <c r="G108" s="15">
        <f t="shared" si="33"/>
        <v>0</v>
      </c>
      <c r="H108" s="15">
        <f t="shared" si="34"/>
        <v>0</v>
      </c>
      <c r="I108" s="15"/>
      <c r="J108" s="16">
        <f t="shared" si="35"/>
        <v>0</v>
      </c>
      <c r="K108" s="16">
        <f t="shared" si="36"/>
        <v>0</v>
      </c>
      <c r="L108">
        <f t="shared" si="37"/>
        <v>0</v>
      </c>
      <c r="M108">
        <f t="shared" si="38"/>
        <v>0</v>
      </c>
      <c r="N108" s="16">
        <f t="shared" si="39"/>
        <v>0</v>
      </c>
      <c r="O108" s="16"/>
      <c r="P108" s="17">
        <f t="shared" si="40"/>
        <v>0</v>
      </c>
      <c r="Q108">
        <f>Q107/(1+Assumptions!$E$8/12)</f>
        <v>0.75364580292467087</v>
      </c>
      <c r="S108" s="17">
        <f t="shared" si="41"/>
        <v>0</v>
      </c>
      <c r="T108" s="17">
        <f>T107*(1+$K$24)*Z108</f>
        <v>0</v>
      </c>
      <c r="U108" s="17">
        <f t="shared" si="42"/>
        <v>0</v>
      </c>
      <c r="V108" s="17">
        <f t="shared" si="43"/>
        <v>0</v>
      </c>
      <c r="W108" s="17">
        <f t="shared" si="44"/>
        <v>0</v>
      </c>
      <c r="Y108">
        <f>(MONTH(E108)=MONTH(Assumptions!$E$6))*(YEAR(Assumptions!$E$6)=YEAR('Rent v Mortgage'!E108))</f>
        <v>0</v>
      </c>
      <c r="Z108">
        <f>--(SUM($Y$28:Y107)&lt;1)*AA108</f>
        <v>0</v>
      </c>
      <c r="AA108">
        <f t="shared" si="45"/>
        <v>1</v>
      </c>
      <c r="AB108" s="20"/>
      <c r="AC108">
        <f t="shared" si="46"/>
        <v>80</v>
      </c>
      <c r="AD108">
        <f t="shared" si="47"/>
        <v>2032</v>
      </c>
      <c r="AE108" s="12">
        <f t="shared" si="48"/>
        <v>48274</v>
      </c>
      <c r="AG108" s="19">
        <f t="shared" si="49"/>
        <v>0</v>
      </c>
      <c r="AH108" s="19">
        <f t="shared" si="50"/>
        <v>0</v>
      </c>
      <c r="AI108" s="19">
        <f t="shared" si="51"/>
        <v>0</v>
      </c>
      <c r="AK108" s="19">
        <f t="shared" si="52"/>
        <v>0</v>
      </c>
      <c r="AL108" s="19">
        <f ca="1">(IF(MOD(AC108,($AE$15*12)),0,$AG108-IFERROR(SUM(OFFSET(AL107,,,-$AE$15*12)),0))-SUM($AL$28:AL107)*(Z109=0))*(Z108=1)</f>
        <v>0</v>
      </c>
      <c r="AM108" s="19">
        <f t="shared" si="53"/>
        <v>0</v>
      </c>
      <c r="AN108" s="19">
        <f t="shared" si="54"/>
        <v>0</v>
      </c>
      <c r="AP108" s="19">
        <f t="shared" ca="1" si="28"/>
        <v>0</v>
      </c>
      <c r="AQ108" s="18">
        <f t="shared" si="29"/>
        <v>0.75364580292467087</v>
      </c>
    </row>
    <row r="109" spans="3:43" x14ac:dyDescent="0.25">
      <c r="C109">
        <f t="shared" si="30"/>
        <v>81</v>
      </c>
      <c r="D109">
        <f t="shared" si="31"/>
        <v>6</v>
      </c>
      <c r="E109" s="12">
        <f t="shared" si="32"/>
        <v>48305</v>
      </c>
      <c r="F109" s="12"/>
      <c r="G109" s="15">
        <f t="shared" si="33"/>
        <v>0</v>
      </c>
      <c r="H109" s="15">
        <f t="shared" si="34"/>
        <v>0</v>
      </c>
      <c r="I109" s="15"/>
      <c r="J109" s="16">
        <f t="shared" si="35"/>
        <v>0</v>
      </c>
      <c r="K109" s="16">
        <f t="shared" si="36"/>
        <v>0</v>
      </c>
      <c r="L109">
        <f t="shared" si="37"/>
        <v>0</v>
      </c>
      <c r="M109">
        <f t="shared" si="38"/>
        <v>0</v>
      </c>
      <c r="N109" s="16">
        <f t="shared" si="39"/>
        <v>0</v>
      </c>
      <c r="O109" s="16"/>
      <c r="P109" s="17">
        <f t="shared" si="40"/>
        <v>0</v>
      </c>
      <c r="Q109">
        <f>Q108/(1+Assumptions!$E$8/12)</f>
        <v>0.75098606062661821</v>
      </c>
      <c r="S109" s="17">
        <f t="shared" si="41"/>
        <v>0</v>
      </c>
      <c r="T109" s="17">
        <f>T108*(1+$K$24)*Z109</f>
        <v>0</v>
      </c>
      <c r="U109" s="17">
        <f t="shared" si="42"/>
        <v>0</v>
      </c>
      <c r="V109" s="17">
        <f t="shared" si="43"/>
        <v>0</v>
      </c>
      <c r="W109" s="17">
        <f t="shared" si="44"/>
        <v>0</v>
      </c>
      <c r="Y109">
        <f>(MONTH(E109)=MONTH(Assumptions!$E$6))*(YEAR(Assumptions!$E$6)=YEAR('Rent v Mortgage'!E109))</f>
        <v>0</v>
      </c>
      <c r="Z109">
        <f>--(SUM($Y$28:Y108)&lt;1)*AA109</f>
        <v>0</v>
      </c>
      <c r="AA109">
        <f t="shared" si="45"/>
        <v>1</v>
      </c>
      <c r="AB109" s="20"/>
      <c r="AC109">
        <f t="shared" si="46"/>
        <v>81</v>
      </c>
      <c r="AD109">
        <f t="shared" si="47"/>
        <v>2032</v>
      </c>
      <c r="AE109" s="12">
        <f t="shared" si="48"/>
        <v>48305</v>
      </c>
      <c r="AG109" s="19">
        <f t="shared" si="49"/>
        <v>0</v>
      </c>
      <c r="AH109" s="19">
        <f t="shared" si="50"/>
        <v>0</v>
      </c>
      <c r="AI109" s="19">
        <f t="shared" si="51"/>
        <v>0</v>
      </c>
      <c r="AK109" s="19">
        <f t="shared" si="52"/>
        <v>0</v>
      </c>
      <c r="AL109" s="19">
        <f ca="1">(IF(MOD(AC109,($AE$15*12)),0,$AG109-IFERROR(SUM(OFFSET(AL108,,,-$AE$15*12)),0))-SUM($AL$28:AL108)*(Z110=0))*(Z109=1)</f>
        <v>0</v>
      </c>
      <c r="AM109" s="19">
        <f t="shared" si="53"/>
        <v>0</v>
      </c>
      <c r="AN109" s="19">
        <f t="shared" si="54"/>
        <v>0</v>
      </c>
      <c r="AP109" s="19">
        <f t="shared" ca="1" si="28"/>
        <v>0</v>
      </c>
      <c r="AQ109" s="18">
        <f t="shared" si="29"/>
        <v>0.75098606062661821</v>
      </c>
    </row>
    <row r="110" spans="3:43" x14ac:dyDescent="0.25">
      <c r="C110">
        <f t="shared" si="30"/>
        <v>82</v>
      </c>
      <c r="D110">
        <f t="shared" si="31"/>
        <v>6</v>
      </c>
      <c r="E110" s="12">
        <f t="shared" si="32"/>
        <v>48335</v>
      </c>
      <c r="F110" s="12"/>
      <c r="G110" s="15">
        <f t="shared" si="33"/>
        <v>0</v>
      </c>
      <c r="H110" s="15">
        <f t="shared" si="34"/>
        <v>0</v>
      </c>
      <c r="I110" s="15"/>
      <c r="J110" s="16">
        <f t="shared" si="35"/>
        <v>0</v>
      </c>
      <c r="K110" s="16">
        <f t="shared" si="36"/>
        <v>0</v>
      </c>
      <c r="L110">
        <f t="shared" si="37"/>
        <v>0</v>
      </c>
      <c r="M110">
        <f t="shared" si="38"/>
        <v>0</v>
      </c>
      <c r="N110" s="16">
        <f t="shared" si="39"/>
        <v>0</v>
      </c>
      <c r="O110" s="16"/>
      <c r="P110" s="17">
        <f t="shared" si="40"/>
        <v>0</v>
      </c>
      <c r="Q110">
        <f>Q109/(1+Assumptions!$E$8/12)</f>
        <v>0.74833570500472635</v>
      </c>
      <c r="S110" s="17">
        <f t="shared" si="41"/>
        <v>0</v>
      </c>
      <c r="T110" s="17">
        <f>T109*(1+$K$24)*Z110</f>
        <v>0</v>
      </c>
      <c r="U110" s="17">
        <f t="shared" si="42"/>
        <v>0</v>
      </c>
      <c r="V110" s="17">
        <f t="shared" si="43"/>
        <v>0</v>
      </c>
      <c r="W110" s="17">
        <f t="shared" si="44"/>
        <v>0</v>
      </c>
      <c r="Y110">
        <f>(MONTH(E110)=MONTH(Assumptions!$E$6))*(YEAR(Assumptions!$E$6)=YEAR('Rent v Mortgage'!E110))</f>
        <v>0</v>
      </c>
      <c r="Z110">
        <f>--(SUM($Y$28:Y109)&lt;1)*AA110</f>
        <v>0</v>
      </c>
      <c r="AA110">
        <f t="shared" si="45"/>
        <v>1</v>
      </c>
      <c r="AB110" s="20"/>
      <c r="AC110">
        <f t="shared" si="46"/>
        <v>82</v>
      </c>
      <c r="AD110">
        <f t="shared" si="47"/>
        <v>2032</v>
      </c>
      <c r="AE110" s="12">
        <f t="shared" si="48"/>
        <v>48335</v>
      </c>
      <c r="AG110" s="19">
        <f t="shared" si="49"/>
        <v>0</v>
      </c>
      <c r="AH110" s="19">
        <f t="shared" si="50"/>
        <v>0</v>
      </c>
      <c r="AI110" s="19">
        <f t="shared" si="51"/>
        <v>0</v>
      </c>
      <c r="AK110" s="19">
        <f t="shared" si="52"/>
        <v>0</v>
      </c>
      <c r="AL110" s="19">
        <f ca="1">(IF(MOD(AC110,($AE$15*12)),0,$AG110-IFERROR(SUM(OFFSET(AL109,,,-$AE$15*12)),0))-SUM($AL$28:AL109)*(Z111=0))*(Z110=1)</f>
        <v>0</v>
      </c>
      <c r="AM110" s="19">
        <f t="shared" si="53"/>
        <v>0</v>
      </c>
      <c r="AN110" s="19">
        <f t="shared" si="54"/>
        <v>0</v>
      </c>
      <c r="AP110" s="19">
        <f t="shared" ca="1" si="28"/>
        <v>0</v>
      </c>
      <c r="AQ110" s="18">
        <f t="shared" si="29"/>
        <v>0.74833570500472635</v>
      </c>
    </row>
    <row r="111" spans="3:43" x14ac:dyDescent="0.25">
      <c r="C111">
        <f t="shared" si="30"/>
        <v>83</v>
      </c>
      <c r="D111">
        <f t="shared" si="31"/>
        <v>6</v>
      </c>
      <c r="E111" s="12">
        <f t="shared" si="32"/>
        <v>48366</v>
      </c>
      <c r="F111" s="12"/>
      <c r="G111" s="15">
        <f t="shared" si="33"/>
        <v>0</v>
      </c>
      <c r="H111" s="15">
        <f t="shared" si="34"/>
        <v>0</v>
      </c>
      <c r="I111" s="15"/>
      <c r="J111" s="16">
        <f t="shared" si="35"/>
        <v>0</v>
      </c>
      <c r="K111" s="16">
        <f t="shared" si="36"/>
        <v>0</v>
      </c>
      <c r="L111">
        <f t="shared" si="37"/>
        <v>0</v>
      </c>
      <c r="M111">
        <f t="shared" si="38"/>
        <v>0</v>
      </c>
      <c r="N111" s="16">
        <f t="shared" si="39"/>
        <v>0</v>
      </c>
      <c r="O111" s="16"/>
      <c r="P111" s="17">
        <f t="shared" si="40"/>
        <v>0</v>
      </c>
      <c r="Q111">
        <f>Q110/(1+Assumptions!$E$8/12)</f>
        <v>0.7456947029318427</v>
      </c>
      <c r="S111" s="17">
        <f t="shared" si="41"/>
        <v>0</v>
      </c>
      <c r="T111" s="17">
        <f>T110*(1+$K$24)*Z111</f>
        <v>0</v>
      </c>
      <c r="U111" s="17">
        <f t="shared" si="42"/>
        <v>0</v>
      </c>
      <c r="V111" s="17">
        <f t="shared" si="43"/>
        <v>0</v>
      </c>
      <c r="W111" s="17">
        <f t="shared" si="44"/>
        <v>0</v>
      </c>
      <c r="Y111">
        <f>(MONTH(E111)=MONTH(Assumptions!$E$6))*(YEAR(Assumptions!$E$6)=YEAR('Rent v Mortgage'!E111))</f>
        <v>0</v>
      </c>
      <c r="Z111">
        <f>--(SUM($Y$28:Y110)&lt;1)*AA111</f>
        <v>0</v>
      </c>
      <c r="AA111">
        <f t="shared" si="45"/>
        <v>1</v>
      </c>
      <c r="AB111" s="20"/>
      <c r="AC111">
        <f t="shared" si="46"/>
        <v>83</v>
      </c>
      <c r="AD111">
        <f t="shared" si="47"/>
        <v>2032</v>
      </c>
      <c r="AE111" s="12">
        <f t="shared" si="48"/>
        <v>48366</v>
      </c>
      <c r="AG111" s="19">
        <f t="shared" si="49"/>
        <v>0</v>
      </c>
      <c r="AH111" s="19">
        <f t="shared" si="50"/>
        <v>0</v>
      </c>
      <c r="AI111" s="19">
        <f t="shared" si="51"/>
        <v>0</v>
      </c>
      <c r="AK111" s="19">
        <f t="shared" si="52"/>
        <v>0</v>
      </c>
      <c r="AL111" s="19">
        <f ca="1">(IF(MOD(AC111,($AE$15*12)),0,$AG111-IFERROR(SUM(OFFSET(AL110,,,-$AE$15*12)),0))-SUM($AL$28:AL110)*(Z112=0))*(Z111=1)</f>
        <v>0</v>
      </c>
      <c r="AM111" s="19">
        <f t="shared" si="53"/>
        <v>0</v>
      </c>
      <c r="AN111" s="19">
        <f t="shared" si="54"/>
        <v>0</v>
      </c>
      <c r="AP111" s="19">
        <f t="shared" ca="1" si="28"/>
        <v>0</v>
      </c>
      <c r="AQ111" s="18">
        <f t="shared" si="29"/>
        <v>0.7456947029318427</v>
      </c>
    </row>
    <row r="112" spans="3:43" x14ac:dyDescent="0.25">
      <c r="C112">
        <f t="shared" si="30"/>
        <v>84</v>
      </c>
      <c r="D112">
        <f t="shared" si="31"/>
        <v>7</v>
      </c>
      <c r="E112" s="12">
        <f t="shared" si="32"/>
        <v>48396</v>
      </c>
      <c r="F112" s="12"/>
      <c r="G112" s="15">
        <f t="shared" si="33"/>
        <v>0</v>
      </c>
      <c r="H112" s="15">
        <f t="shared" si="34"/>
        <v>0</v>
      </c>
      <c r="I112" s="15"/>
      <c r="J112" s="16">
        <f t="shared" si="35"/>
        <v>0</v>
      </c>
      <c r="K112" s="16">
        <f t="shared" si="36"/>
        <v>0</v>
      </c>
      <c r="L112">
        <f t="shared" si="37"/>
        <v>0</v>
      </c>
      <c r="M112">
        <f t="shared" si="38"/>
        <v>0</v>
      </c>
      <c r="N112" s="16">
        <f t="shared" si="39"/>
        <v>0</v>
      </c>
      <c r="O112" s="16"/>
      <c r="P112" s="17">
        <f t="shared" si="40"/>
        <v>0</v>
      </c>
      <c r="Q112">
        <f>Q111/(1+Assumptions!$E$8/12)</f>
        <v>0.74306302139772562</v>
      </c>
      <c r="S112" s="17">
        <f t="shared" si="41"/>
        <v>0</v>
      </c>
      <c r="T112" s="17">
        <f>T111*(1+$K$24)*Z112</f>
        <v>0</v>
      </c>
      <c r="U112" s="17">
        <f t="shared" si="42"/>
        <v>0</v>
      </c>
      <c r="V112" s="17">
        <f t="shared" si="43"/>
        <v>0</v>
      </c>
      <c r="W112" s="17">
        <f t="shared" si="44"/>
        <v>0</v>
      </c>
      <c r="Y112">
        <f>(MONTH(E112)=MONTH(Assumptions!$E$6))*(YEAR(Assumptions!$E$6)=YEAR('Rent v Mortgage'!E112))</f>
        <v>0</v>
      </c>
      <c r="Z112">
        <f>--(SUM($Y$28:Y111)&lt;1)*AA112</f>
        <v>0</v>
      </c>
      <c r="AA112">
        <f t="shared" si="45"/>
        <v>1</v>
      </c>
      <c r="AB112" s="20"/>
      <c r="AC112">
        <f t="shared" si="46"/>
        <v>84</v>
      </c>
      <c r="AD112">
        <f t="shared" si="47"/>
        <v>2032</v>
      </c>
      <c r="AE112" s="12">
        <f t="shared" si="48"/>
        <v>48396</v>
      </c>
      <c r="AG112" s="19">
        <f t="shared" si="49"/>
        <v>0</v>
      </c>
      <c r="AH112" s="19">
        <f t="shared" si="50"/>
        <v>0</v>
      </c>
      <c r="AI112" s="19">
        <f t="shared" si="51"/>
        <v>0</v>
      </c>
      <c r="AK112" s="19">
        <f t="shared" si="52"/>
        <v>0</v>
      </c>
      <c r="AL112" s="19">
        <f ca="1">(IF(MOD(AC112,($AE$15*12)),0,$AG112-IFERROR(SUM(OFFSET(AL111,,,-$AE$15*12)),0))-SUM($AL$28:AL111)*(Z113=0))*(Z112=1)</f>
        <v>0</v>
      </c>
      <c r="AM112" s="19">
        <f t="shared" si="53"/>
        <v>0</v>
      </c>
      <c r="AN112" s="19">
        <f t="shared" si="54"/>
        <v>0</v>
      </c>
      <c r="AP112" s="19">
        <f t="shared" ca="1" si="28"/>
        <v>0</v>
      </c>
      <c r="AQ112" s="18">
        <f t="shared" si="29"/>
        <v>0.74306302139772562</v>
      </c>
    </row>
    <row r="113" spans="3:43" x14ac:dyDescent="0.25">
      <c r="C113">
        <f t="shared" si="30"/>
        <v>85</v>
      </c>
      <c r="D113">
        <f t="shared" si="31"/>
        <v>7</v>
      </c>
      <c r="E113" s="12">
        <f t="shared" si="32"/>
        <v>48427</v>
      </c>
      <c r="F113" s="12"/>
      <c r="G113" s="15">
        <f t="shared" si="33"/>
        <v>0</v>
      </c>
      <c r="H113" s="15">
        <f t="shared" si="34"/>
        <v>0</v>
      </c>
      <c r="I113" s="15"/>
      <c r="J113" s="16">
        <f t="shared" si="35"/>
        <v>0</v>
      </c>
      <c r="K113" s="16">
        <f t="shared" si="36"/>
        <v>0</v>
      </c>
      <c r="L113">
        <f t="shared" si="37"/>
        <v>0</v>
      </c>
      <c r="M113">
        <f t="shared" si="38"/>
        <v>0</v>
      </c>
      <c r="N113" s="16">
        <f t="shared" si="39"/>
        <v>0</v>
      </c>
      <c r="O113" s="16"/>
      <c r="P113" s="17">
        <f t="shared" si="40"/>
        <v>0</v>
      </c>
      <c r="Q113">
        <f>Q112/(1+Assumptions!$E$8/12)</f>
        <v>0.74044062750863249</v>
      </c>
      <c r="S113" s="17">
        <f t="shared" si="41"/>
        <v>0</v>
      </c>
      <c r="T113" s="17">
        <f>T112*(1+$K$24)*Z113</f>
        <v>0</v>
      </c>
      <c r="U113" s="17">
        <f t="shared" si="42"/>
        <v>0</v>
      </c>
      <c r="V113" s="17">
        <f t="shared" si="43"/>
        <v>0</v>
      </c>
      <c r="W113" s="17">
        <f t="shared" si="44"/>
        <v>0</v>
      </c>
      <c r="Y113">
        <f>(MONTH(E113)=MONTH(Assumptions!$E$6))*(YEAR(Assumptions!$E$6)=YEAR('Rent v Mortgage'!E113))</f>
        <v>0</v>
      </c>
      <c r="Z113">
        <f>--(SUM($Y$28:Y112)&lt;1)*AA113</f>
        <v>0</v>
      </c>
      <c r="AA113">
        <f t="shared" si="45"/>
        <v>1</v>
      </c>
      <c r="AB113" s="20"/>
      <c r="AC113">
        <f t="shared" si="46"/>
        <v>85</v>
      </c>
      <c r="AD113">
        <f t="shared" si="47"/>
        <v>2032</v>
      </c>
      <c r="AE113" s="12">
        <f t="shared" si="48"/>
        <v>48427</v>
      </c>
      <c r="AG113" s="19">
        <f t="shared" si="49"/>
        <v>0</v>
      </c>
      <c r="AH113" s="19">
        <f t="shared" si="50"/>
        <v>0</v>
      </c>
      <c r="AI113" s="19">
        <f t="shared" si="51"/>
        <v>0</v>
      </c>
      <c r="AK113" s="19">
        <f t="shared" si="52"/>
        <v>0</v>
      </c>
      <c r="AL113" s="19">
        <f ca="1">(IF(MOD(AC113,($AE$15*12)),0,$AG113-IFERROR(SUM(OFFSET(AL112,,,-$AE$15*12)),0))-SUM($AL$28:AL112)*(Z114=0))*(Z113=1)</f>
        <v>0</v>
      </c>
      <c r="AM113" s="19">
        <f t="shared" si="53"/>
        <v>0</v>
      </c>
      <c r="AN113" s="19">
        <f t="shared" si="54"/>
        <v>0</v>
      </c>
      <c r="AP113" s="19">
        <f t="shared" ca="1" si="28"/>
        <v>0</v>
      </c>
      <c r="AQ113" s="18">
        <f t="shared" si="29"/>
        <v>0.74044062750863249</v>
      </c>
    </row>
    <row r="114" spans="3:43" x14ac:dyDescent="0.25">
      <c r="C114">
        <f t="shared" si="30"/>
        <v>86</v>
      </c>
      <c r="D114">
        <f t="shared" si="31"/>
        <v>7</v>
      </c>
      <c r="E114" s="12">
        <f t="shared" si="32"/>
        <v>48458</v>
      </c>
      <c r="F114" s="12"/>
      <c r="G114" s="15">
        <f t="shared" si="33"/>
        <v>0</v>
      </c>
      <c r="H114" s="15">
        <f t="shared" si="34"/>
        <v>0</v>
      </c>
      <c r="I114" s="15"/>
      <c r="J114" s="16">
        <f t="shared" si="35"/>
        <v>0</v>
      </c>
      <c r="K114" s="16">
        <f t="shared" si="36"/>
        <v>0</v>
      </c>
      <c r="L114">
        <f t="shared" si="37"/>
        <v>0</v>
      </c>
      <c r="M114">
        <f t="shared" si="38"/>
        <v>0</v>
      </c>
      <c r="N114" s="16">
        <f t="shared" si="39"/>
        <v>0</v>
      </c>
      <c r="O114" s="16"/>
      <c r="P114" s="17">
        <f t="shared" si="40"/>
        <v>0</v>
      </c>
      <c r="Q114">
        <f>Q113/(1+Assumptions!$E$8/12)</f>
        <v>0.73782748848690793</v>
      </c>
      <c r="S114" s="17">
        <f t="shared" si="41"/>
        <v>0</v>
      </c>
      <c r="T114" s="17">
        <f>T113*(1+$K$24)*Z114</f>
        <v>0</v>
      </c>
      <c r="U114" s="17">
        <f t="shared" si="42"/>
        <v>0</v>
      </c>
      <c r="V114" s="17">
        <f t="shared" si="43"/>
        <v>0</v>
      </c>
      <c r="W114" s="17">
        <f t="shared" si="44"/>
        <v>0</v>
      </c>
      <c r="Y114">
        <f>(MONTH(E114)=MONTH(Assumptions!$E$6))*(YEAR(Assumptions!$E$6)=YEAR('Rent v Mortgage'!E114))</f>
        <v>0</v>
      </c>
      <c r="Z114">
        <f>--(SUM($Y$28:Y113)&lt;1)*AA114</f>
        <v>0</v>
      </c>
      <c r="AA114">
        <f t="shared" si="45"/>
        <v>1</v>
      </c>
      <c r="AB114" s="20"/>
      <c r="AC114">
        <f t="shared" si="46"/>
        <v>86</v>
      </c>
      <c r="AD114">
        <f t="shared" si="47"/>
        <v>2032</v>
      </c>
      <c r="AE114" s="12">
        <f t="shared" si="48"/>
        <v>48458</v>
      </c>
      <c r="AG114" s="19">
        <f t="shared" si="49"/>
        <v>0</v>
      </c>
      <c r="AH114" s="19">
        <f t="shared" si="50"/>
        <v>0</v>
      </c>
      <c r="AI114" s="19">
        <f t="shared" si="51"/>
        <v>0</v>
      </c>
      <c r="AK114" s="19">
        <f t="shared" si="52"/>
        <v>0</v>
      </c>
      <c r="AL114" s="19">
        <f ca="1">(IF(MOD(AC114,($AE$15*12)),0,$AG114-IFERROR(SUM(OFFSET(AL113,,,-$AE$15*12)),0))-SUM($AL$28:AL113)*(Z115=0))*(Z114=1)</f>
        <v>0</v>
      </c>
      <c r="AM114" s="19">
        <f t="shared" si="53"/>
        <v>0</v>
      </c>
      <c r="AN114" s="19">
        <f t="shared" si="54"/>
        <v>0</v>
      </c>
      <c r="AP114" s="19">
        <f t="shared" ca="1" si="28"/>
        <v>0</v>
      </c>
      <c r="AQ114" s="18">
        <f t="shared" si="29"/>
        <v>0.73782748848690793</v>
      </c>
    </row>
    <row r="115" spans="3:43" x14ac:dyDescent="0.25">
      <c r="C115">
        <f t="shared" si="30"/>
        <v>87</v>
      </c>
      <c r="D115">
        <f t="shared" si="31"/>
        <v>7</v>
      </c>
      <c r="E115" s="12">
        <f t="shared" si="32"/>
        <v>48488</v>
      </c>
      <c r="F115" s="12"/>
      <c r="G115" s="15">
        <f t="shared" si="33"/>
        <v>0</v>
      </c>
      <c r="H115" s="15">
        <f t="shared" si="34"/>
        <v>0</v>
      </c>
      <c r="I115" s="15"/>
      <c r="J115" s="16">
        <f t="shared" si="35"/>
        <v>0</v>
      </c>
      <c r="K115" s="16">
        <f t="shared" si="36"/>
        <v>0</v>
      </c>
      <c r="L115">
        <f t="shared" si="37"/>
        <v>0</v>
      </c>
      <c r="M115">
        <f t="shared" si="38"/>
        <v>0</v>
      </c>
      <c r="N115" s="16">
        <f t="shared" si="39"/>
        <v>0</v>
      </c>
      <c r="O115" s="16"/>
      <c r="P115" s="17">
        <f t="shared" si="40"/>
        <v>0</v>
      </c>
      <c r="Q115">
        <f>Q114/(1+Assumptions!$E$8/12)</f>
        <v>0.73522357167057462</v>
      </c>
      <c r="S115" s="17">
        <f t="shared" si="41"/>
        <v>0</v>
      </c>
      <c r="T115" s="17">
        <f>T114*(1+$K$24)*Z115</f>
        <v>0</v>
      </c>
      <c r="U115" s="17">
        <f t="shared" si="42"/>
        <v>0</v>
      </c>
      <c r="V115" s="17">
        <f t="shared" si="43"/>
        <v>0</v>
      </c>
      <c r="W115" s="17">
        <f t="shared" si="44"/>
        <v>0</v>
      </c>
      <c r="Y115">
        <f>(MONTH(E115)=MONTH(Assumptions!$E$6))*(YEAR(Assumptions!$E$6)=YEAR('Rent v Mortgage'!E115))</f>
        <v>0</v>
      </c>
      <c r="Z115">
        <f>--(SUM($Y$28:Y114)&lt;1)*AA115</f>
        <v>0</v>
      </c>
      <c r="AA115">
        <f t="shared" si="45"/>
        <v>1</v>
      </c>
      <c r="AB115" s="20"/>
      <c r="AC115">
        <f t="shared" si="46"/>
        <v>87</v>
      </c>
      <c r="AD115">
        <f t="shared" si="47"/>
        <v>2032</v>
      </c>
      <c r="AE115" s="12">
        <f t="shared" si="48"/>
        <v>48488</v>
      </c>
      <c r="AG115" s="19">
        <f t="shared" si="49"/>
        <v>0</v>
      </c>
      <c r="AH115" s="19">
        <f t="shared" si="50"/>
        <v>0</v>
      </c>
      <c r="AI115" s="19">
        <f t="shared" si="51"/>
        <v>0</v>
      </c>
      <c r="AK115" s="19">
        <f t="shared" si="52"/>
        <v>0</v>
      </c>
      <c r="AL115" s="19">
        <f ca="1">(IF(MOD(AC115,($AE$15*12)),0,$AG115-IFERROR(SUM(OFFSET(AL114,,,-$AE$15*12)),0))-SUM($AL$28:AL114)*(Z116=0))*(Z115=1)</f>
        <v>0</v>
      </c>
      <c r="AM115" s="19">
        <f t="shared" si="53"/>
        <v>0</v>
      </c>
      <c r="AN115" s="19">
        <f t="shared" si="54"/>
        <v>0</v>
      </c>
      <c r="AP115" s="19">
        <f t="shared" ca="1" si="28"/>
        <v>0</v>
      </c>
      <c r="AQ115" s="18">
        <f t="shared" si="29"/>
        <v>0.73522357167057462</v>
      </c>
    </row>
    <row r="116" spans="3:43" x14ac:dyDescent="0.25">
      <c r="C116">
        <f t="shared" si="30"/>
        <v>88</v>
      </c>
      <c r="D116">
        <f t="shared" si="31"/>
        <v>7</v>
      </c>
      <c r="E116" s="12">
        <f t="shared" si="32"/>
        <v>48519</v>
      </c>
      <c r="F116" s="12"/>
      <c r="G116" s="15">
        <f t="shared" si="33"/>
        <v>0</v>
      </c>
      <c r="H116" s="15">
        <f t="shared" si="34"/>
        <v>0</v>
      </c>
      <c r="I116" s="15"/>
      <c r="J116" s="16">
        <f t="shared" si="35"/>
        <v>0</v>
      </c>
      <c r="K116" s="16">
        <f t="shared" si="36"/>
        <v>0</v>
      </c>
      <c r="L116">
        <f t="shared" si="37"/>
        <v>0</v>
      </c>
      <c r="M116">
        <f t="shared" si="38"/>
        <v>0</v>
      </c>
      <c r="N116" s="16">
        <f t="shared" si="39"/>
        <v>0</v>
      </c>
      <c r="O116" s="16"/>
      <c r="P116" s="17">
        <f t="shared" si="40"/>
        <v>0</v>
      </c>
      <c r="Q116">
        <f>Q115/(1+Assumptions!$E$8/12)</f>
        <v>0.73262884451292465</v>
      </c>
      <c r="S116" s="17">
        <f t="shared" si="41"/>
        <v>0</v>
      </c>
      <c r="T116" s="17">
        <f>T115*(1+$K$24)*Z116</f>
        <v>0</v>
      </c>
      <c r="U116" s="17">
        <f t="shared" si="42"/>
        <v>0</v>
      </c>
      <c r="V116" s="17">
        <f t="shared" si="43"/>
        <v>0</v>
      </c>
      <c r="W116" s="17">
        <f t="shared" si="44"/>
        <v>0</v>
      </c>
      <c r="Y116">
        <f>(MONTH(E116)=MONTH(Assumptions!$E$6))*(YEAR(Assumptions!$E$6)=YEAR('Rent v Mortgage'!E116))</f>
        <v>0</v>
      </c>
      <c r="Z116">
        <f>--(SUM($Y$28:Y115)&lt;1)*AA116</f>
        <v>0</v>
      </c>
      <c r="AA116">
        <f t="shared" si="45"/>
        <v>1</v>
      </c>
      <c r="AB116" s="20"/>
      <c r="AC116">
        <f t="shared" si="46"/>
        <v>88</v>
      </c>
      <c r="AD116">
        <f t="shared" si="47"/>
        <v>2032</v>
      </c>
      <c r="AE116" s="12">
        <f t="shared" si="48"/>
        <v>48519</v>
      </c>
      <c r="AG116" s="19">
        <f t="shared" si="49"/>
        <v>0</v>
      </c>
      <c r="AH116" s="19">
        <f t="shared" si="50"/>
        <v>0</v>
      </c>
      <c r="AI116" s="19">
        <f t="shared" si="51"/>
        <v>0</v>
      </c>
      <c r="AK116" s="19">
        <f t="shared" si="52"/>
        <v>0</v>
      </c>
      <c r="AL116" s="19">
        <f ca="1">(IF(MOD(AC116,($AE$15*12)),0,$AG116-IFERROR(SUM(OFFSET(AL115,,,-$AE$15*12)),0))-SUM($AL$28:AL115)*(Z117=0))*(Z116=1)</f>
        <v>0</v>
      </c>
      <c r="AM116" s="19">
        <f t="shared" si="53"/>
        <v>0</v>
      </c>
      <c r="AN116" s="19">
        <f t="shared" si="54"/>
        <v>0</v>
      </c>
      <c r="AP116" s="19">
        <f t="shared" ca="1" si="28"/>
        <v>0</v>
      </c>
      <c r="AQ116" s="18">
        <f t="shared" si="29"/>
        <v>0.73262884451292465</v>
      </c>
    </row>
    <row r="117" spans="3:43" x14ac:dyDescent="0.25">
      <c r="C117">
        <f t="shared" si="30"/>
        <v>89</v>
      </c>
      <c r="D117">
        <f t="shared" si="31"/>
        <v>7</v>
      </c>
      <c r="E117" s="12">
        <f t="shared" si="32"/>
        <v>48549</v>
      </c>
      <c r="F117" s="12"/>
      <c r="G117" s="15">
        <f t="shared" si="33"/>
        <v>0</v>
      </c>
      <c r="H117" s="15">
        <f t="shared" si="34"/>
        <v>0</v>
      </c>
      <c r="I117" s="15"/>
      <c r="J117" s="16">
        <f t="shared" si="35"/>
        <v>0</v>
      </c>
      <c r="K117" s="16">
        <f t="shared" si="36"/>
        <v>0</v>
      </c>
      <c r="L117">
        <f t="shared" si="37"/>
        <v>0</v>
      </c>
      <c r="M117">
        <f t="shared" si="38"/>
        <v>0</v>
      </c>
      <c r="N117" s="16">
        <f t="shared" si="39"/>
        <v>0</v>
      </c>
      <c r="O117" s="16"/>
      <c r="P117" s="17">
        <f t="shared" si="40"/>
        <v>0</v>
      </c>
      <c r="Q117">
        <f>Q116/(1+Assumptions!$E$8/12)</f>
        <v>0.73004327458211293</v>
      </c>
      <c r="S117" s="17">
        <f t="shared" si="41"/>
        <v>0</v>
      </c>
      <c r="T117" s="17">
        <f>T116*(1+$K$24)*Z117</f>
        <v>0</v>
      </c>
      <c r="U117" s="17">
        <f t="shared" si="42"/>
        <v>0</v>
      </c>
      <c r="V117" s="17">
        <f t="shared" si="43"/>
        <v>0</v>
      </c>
      <c r="W117" s="17">
        <f t="shared" si="44"/>
        <v>0</v>
      </c>
      <c r="Y117">
        <f>(MONTH(E117)=MONTH(Assumptions!$E$6))*(YEAR(Assumptions!$E$6)=YEAR('Rent v Mortgage'!E117))</f>
        <v>0</v>
      </c>
      <c r="Z117">
        <f>--(SUM($Y$28:Y116)&lt;1)*AA117</f>
        <v>0</v>
      </c>
      <c r="AA117">
        <f t="shared" si="45"/>
        <v>1</v>
      </c>
      <c r="AB117" s="20"/>
      <c r="AC117">
        <f t="shared" si="46"/>
        <v>89</v>
      </c>
      <c r="AD117">
        <f t="shared" si="47"/>
        <v>2032</v>
      </c>
      <c r="AE117" s="12">
        <f t="shared" si="48"/>
        <v>48549</v>
      </c>
      <c r="AG117" s="19">
        <f t="shared" si="49"/>
        <v>0</v>
      </c>
      <c r="AH117" s="19">
        <f t="shared" si="50"/>
        <v>0</v>
      </c>
      <c r="AI117" s="19">
        <f t="shared" si="51"/>
        <v>0</v>
      </c>
      <c r="AK117" s="19">
        <f t="shared" si="52"/>
        <v>0</v>
      </c>
      <c r="AL117" s="19">
        <f ca="1">(IF(MOD(AC117,($AE$15*12)),0,$AG117-IFERROR(SUM(OFFSET(AL116,,,-$AE$15*12)),0))-SUM($AL$28:AL116)*(Z118=0))*(Z117=1)</f>
        <v>0</v>
      </c>
      <c r="AM117" s="19">
        <f t="shared" si="53"/>
        <v>0</v>
      </c>
      <c r="AN117" s="19">
        <f t="shared" si="54"/>
        <v>0</v>
      </c>
      <c r="AP117" s="19">
        <f t="shared" ca="1" si="28"/>
        <v>0</v>
      </c>
      <c r="AQ117" s="18">
        <f t="shared" si="29"/>
        <v>0.73004327458211293</v>
      </c>
    </row>
    <row r="118" spans="3:43" x14ac:dyDescent="0.25">
      <c r="C118">
        <f t="shared" si="30"/>
        <v>90</v>
      </c>
      <c r="D118">
        <f t="shared" si="31"/>
        <v>7</v>
      </c>
      <c r="E118" s="12">
        <f t="shared" si="32"/>
        <v>48580</v>
      </c>
      <c r="F118" s="12"/>
      <c r="G118" s="15">
        <f t="shared" si="33"/>
        <v>0</v>
      </c>
      <c r="H118" s="15">
        <f t="shared" si="34"/>
        <v>0</v>
      </c>
      <c r="I118" s="15"/>
      <c r="J118" s="16">
        <f t="shared" si="35"/>
        <v>0</v>
      </c>
      <c r="K118" s="16">
        <f t="shared" si="36"/>
        <v>0</v>
      </c>
      <c r="L118">
        <f t="shared" si="37"/>
        <v>0</v>
      </c>
      <c r="M118">
        <f t="shared" si="38"/>
        <v>0</v>
      </c>
      <c r="N118" s="16">
        <f t="shared" si="39"/>
        <v>0</v>
      </c>
      <c r="O118" s="16"/>
      <c r="P118" s="17">
        <f t="shared" si="40"/>
        <v>0</v>
      </c>
      <c r="Q118">
        <f>Q117/(1+Assumptions!$E$8/12)</f>
        <v>0.72746682956075182</v>
      </c>
      <c r="S118" s="17">
        <f t="shared" si="41"/>
        <v>0</v>
      </c>
      <c r="T118" s="17">
        <f>T117*(1+$K$24)*Z118</f>
        <v>0</v>
      </c>
      <c r="U118" s="17">
        <f t="shared" si="42"/>
        <v>0</v>
      </c>
      <c r="V118" s="17">
        <f t="shared" si="43"/>
        <v>0</v>
      </c>
      <c r="W118" s="17">
        <f t="shared" si="44"/>
        <v>0</v>
      </c>
      <c r="Y118">
        <f>(MONTH(E118)=MONTH(Assumptions!$E$6))*(YEAR(Assumptions!$E$6)=YEAR('Rent v Mortgage'!E118))</f>
        <v>0</v>
      </c>
      <c r="Z118">
        <f>--(SUM($Y$28:Y117)&lt;1)*AA118</f>
        <v>0</v>
      </c>
      <c r="AA118">
        <f t="shared" si="45"/>
        <v>1</v>
      </c>
      <c r="AB118" s="20"/>
      <c r="AC118">
        <f t="shared" si="46"/>
        <v>90</v>
      </c>
      <c r="AD118">
        <f t="shared" si="47"/>
        <v>2033</v>
      </c>
      <c r="AE118" s="12">
        <f t="shared" si="48"/>
        <v>48580</v>
      </c>
      <c r="AG118" s="19">
        <f t="shared" si="49"/>
        <v>0</v>
      </c>
      <c r="AH118" s="19">
        <f t="shared" si="50"/>
        <v>0</v>
      </c>
      <c r="AI118" s="19">
        <f t="shared" si="51"/>
        <v>0</v>
      </c>
      <c r="AK118" s="19">
        <f t="shared" si="52"/>
        <v>0</v>
      </c>
      <c r="AL118" s="19">
        <f ca="1">(IF(MOD(AC118,($AE$15*12)),0,$AG118-IFERROR(SUM(OFFSET(AL117,,,-$AE$15*12)),0))-SUM($AL$28:AL117)*(Z119=0))*(Z118=1)</f>
        <v>0</v>
      </c>
      <c r="AM118" s="19">
        <f t="shared" si="53"/>
        <v>0</v>
      </c>
      <c r="AN118" s="19">
        <f t="shared" si="54"/>
        <v>0</v>
      </c>
      <c r="AP118" s="19">
        <f t="shared" ca="1" si="28"/>
        <v>0</v>
      </c>
      <c r="AQ118" s="18">
        <f t="shared" si="29"/>
        <v>0.72746682956075182</v>
      </c>
    </row>
    <row r="119" spans="3:43" x14ac:dyDescent="0.25">
      <c r="C119">
        <f t="shared" si="30"/>
        <v>91</v>
      </c>
      <c r="D119">
        <f t="shared" si="31"/>
        <v>7</v>
      </c>
      <c r="E119" s="12">
        <f t="shared" si="32"/>
        <v>48611</v>
      </c>
      <c r="F119" s="12"/>
      <c r="G119" s="15">
        <f t="shared" si="33"/>
        <v>0</v>
      </c>
      <c r="H119" s="15">
        <f t="shared" si="34"/>
        <v>0</v>
      </c>
      <c r="I119" s="15"/>
      <c r="J119" s="16">
        <f t="shared" si="35"/>
        <v>0</v>
      </c>
      <c r="K119" s="16">
        <f t="shared" si="36"/>
        <v>0</v>
      </c>
      <c r="L119">
        <f t="shared" si="37"/>
        <v>0</v>
      </c>
      <c r="M119">
        <f t="shared" si="38"/>
        <v>0</v>
      </c>
      <c r="N119" s="16">
        <f t="shared" si="39"/>
        <v>0</v>
      </c>
      <c r="O119" s="16"/>
      <c r="P119" s="17">
        <f t="shared" si="40"/>
        <v>0</v>
      </c>
      <c r="Q119">
        <f>Q118/(1+Assumptions!$E$8/12)</f>
        <v>0.72489947724550718</v>
      </c>
      <c r="S119" s="17">
        <f t="shared" si="41"/>
        <v>0</v>
      </c>
      <c r="T119" s="17">
        <f>T118*(1+$K$24)*Z119</f>
        <v>0</v>
      </c>
      <c r="U119" s="17">
        <f t="shared" si="42"/>
        <v>0</v>
      </c>
      <c r="V119" s="17">
        <f t="shared" si="43"/>
        <v>0</v>
      </c>
      <c r="W119" s="17">
        <f t="shared" si="44"/>
        <v>0</v>
      </c>
      <c r="Y119">
        <f>(MONTH(E119)=MONTH(Assumptions!$E$6))*(YEAR(Assumptions!$E$6)=YEAR('Rent v Mortgage'!E119))</f>
        <v>0</v>
      </c>
      <c r="Z119">
        <f>--(SUM($Y$28:Y118)&lt;1)*AA119</f>
        <v>0</v>
      </c>
      <c r="AA119">
        <f t="shared" si="45"/>
        <v>1</v>
      </c>
      <c r="AB119" s="20"/>
      <c r="AC119">
        <f t="shared" si="46"/>
        <v>91</v>
      </c>
      <c r="AD119">
        <f t="shared" si="47"/>
        <v>2033</v>
      </c>
      <c r="AE119" s="12">
        <f t="shared" si="48"/>
        <v>48611</v>
      </c>
      <c r="AG119" s="19">
        <f t="shared" si="49"/>
        <v>0</v>
      </c>
      <c r="AH119" s="19">
        <f t="shared" si="50"/>
        <v>0</v>
      </c>
      <c r="AI119" s="19">
        <f t="shared" si="51"/>
        <v>0</v>
      </c>
      <c r="AK119" s="19">
        <f t="shared" si="52"/>
        <v>0</v>
      </c>
      <c r="AL119" s="19">
        <f ca="1">(IF(MOD(AC119,($AE$15*12)),0,$AG119-IFERROR(SUM(OFFSET(AL118,,,-$AE$15*12)),0))-SUM($AL$28:AL118)*(Z120=0))*(Z119=1)</f>
        <v>0</v>
      </c>
      <c r="AM119" s="19">
        <f t="shared" si="53"/>
        <v>0</v>
      </c>
      <c r="AN119" s="19">
        <f t="shared" si="54"/>
        <v>0</v>
      </c>
      <c r="AP119" s="19">
        <f t="shared" ca="1" si="28"/>
        <v>0</v>
      </c>
      <c r="AQ119" s="18">
        <f t="shared" si="29"/>
        <v>0.72489947724550718</v>
      </c>
    </row>
    <row r="120" spans="3:43" x14ac:dyDescent="0.25">
      <c r="C120">
        <f t="shared" si="30"/>
        <v>92</v>
      </c>
      <c r="D120">
        <f t="shared" si="31"/>
        <v>7</v>
      </c>
      <c r="E120" s="12">
        <f t="shared" si="32"/>
        <v>48639</v>
      </c>
      <c r="F120" s="12"/>
      <c r="G120" s="15">
        <f t="shared" si="33"/>
        <v>0</v>
      </c>
      <c r="H120" s="15">
        <f t="shared" si="34"/>
        <v>0</v>
      </c>
      <c r="I120" s="15"/>
      <c r="J120" s="16">
        <f t="shared" si="35"/>
        <v>0</v>
      </c>
      <c r="K120" s="16">
        <f t="shared" si="36"/>
        <v>0</v>
      </c>
      <c r="L120">
        <f t="shared" si="37"/>
        <v>0</v>
      </c>
      <c r="M120">
        <f t="shared" si="38"/>
        <v>0</v>
      </c>
      <c r="N120" s="16">
        <f t="shared" si="39"/>
        <v>0</v>
      </c>
      <c r="O120" s="16"/>
      <c r="P120" s="17">
        <f t="shared" si="40"/>
        <v>0</v>
      </c>
      <c r="Q120">
        <f>Q119/(1+Assumptions!$E$8/12)</f>
        <v>0.72234118554669591</v>
      </c>
      <c r="S120" s="17">
        <f t="shared" si="41"/>
        <v>0</v>
      </c>
      <c r="T120" s="17">
        <f>T119*(1+$K$24)*Z120</f>
        <v>0</v>
      </c>
      <c r="U120" s="17">
        <f t="shared" si="42"/>
        <v>0</v>
      </c>
      <c r="V120" s="17">
        <f t="shared" si="43"/>
        <v>0</v>
      </c>
      <c r="W120" s="17">
        <f t="shared" si="44"/>
        <v>0</v>
      </c>
      <c r="Y120">
        <f>(MONTH(E120)=MONTH(Assumptions!$E$6))*(YEAR(Assumptions!$E$6)=YEAR('Rent v Mortgage'!E120))</f>
        <v>0</v>
      </c>
      <c r="Z120">
        <f>--(SUM($Y$28:Y119)&lt;1)*AA120</f>
        <v>0</v>
      </c>
      <c r="AA120">
        <f t="shared" si="45"/>
        <v>1</v>
      </c>
      <c r="AB120" s="20"/>
      <c r="AC120">
        <f t="shared" si="46"/>
        <v>92</v>
      </c>
      <c r="AD120">
        <f t="shared" si="47"/>
        <v>2033</v>
      </c>
      <c r="AE120" s="12">
        <f t="shared" si="48"/>
        <v>48639</v>
      </c>
      <c r="AG120" s="19">
        <f t="shared" si="49"/>
        <v>0</v>
      </c>
      <c r="AH120" s="19">
        <f t="shared" si="50"/>
        <v>0</v>
      </c>
      <c r="AI120" s="19">
        <f t="shared" si="51"/>
        <v>0</v>
      </c>
      <c r="AK120" s="19">
        <f t="shared" si="52"/>
        <v>0</v>
      </c>
      <c r="AL120" s="19">
        <f ca="1">(IF(MOD(AC120,($AE$15*12)),0,$AG120-IFERROR(SUM(OFFSET(AL119,,,-$AE$15*12)),0))-SUM($AL$28:AL119)*(Z121=0))*(Z120=1)</f>
        <v>0</v>
      </c>
      <c r="AM120" s="19">
        <f t="shared" si="53"/>
        <v>0</v>
      </c>
      <c r="AN120" s="19">
        <f t="shared" si="54"/>
        <v>0</v>
      </c>
      <c r="AP120" s="19">
        <f t="shared" ca="1" si="28"/>
        <v>0</v>
      </c>
      <c r="AQ120" s="18">
        <f t="shared" si="29"/>
        <v>0.72234118554669591</v>
      </c>
    </row>
    <row r="121" spans="3:43" x14ac:dyDescent="0.25">
      <c r="C121">
        <f t="shared" si="30"/>
        <v>93</v>
      </c>
      <c r="D121">
        <f t="shared" si="31"/>
        <v>7</v>
      </c>
      <c r="E121" s="12">
        <f t="shared" si="32"/>
        <v>48670</v>
      </c>
      <c r="F121" s="12"/>
      <c r="G121" s="15">
        <f t="shared" si="33"/>
        <v>0</v>
      </c>
      <c r="H121" s="15">
        <f t="shared" si="34"/>
        <v>0</v>
      </c>
      <c r="I121" s="15"/>
      <c r="J121" s="16">
        <f t="shared" si="35"/>
        <v>0</v>
      </c>
      <c r="K121" s="16">
        <f t="shared" si="36"/>
        <v>0</v>
      </c>
      <c r="L121">
        <f t="shared" si="37"/>
        <v>0</v>
      </c>
      <c r="M121">
        <f t="shared" si="38"/>
        <v>0</v>
      </c>
      <c r="N121" s="16">
        <f t="shared" si="39"/>
        <v>0</v>
      </c>
      <c r="O121" s="16"/>
      <c r="P121" s="17">
        <f t="shared" si="40"/>
        <v>0</v>
      </c>
      <c r="Q121">
        <f>Q120/(1+Assumptions!$E$8/12)</f>
        <v>0.71979192248788459</v>
      </c>
      <c r="S121" s="17">
        <f t="shared" si="41"/>
        <v>0</v>
      </c>
      <c r="T121" s="17">
        <f>T120*(1+$K$24)*Z121</f>
        <v>0</v>
      </c>
      <c r="U121" s="17">
        <f t="shared" si="42"/>
        <v>0</v>
      </c>
      <c r="V121" s="17">
        <f t="shared" si="43"/>
        <v>0</v>
      </c>
      <c r="W121" s="17">
        <f t="shared" si="44"/>
        <v>0</v>
      </c>
      <c r="Y121">
        <f>(MONTH(E121)=MONTH(Assumptions!$E$6))*(YEAR(Assumptions!$E$6)=YEAR('Rent v Mortgage'!E121))</f>
        <v>0</v>
      </c>
      <c r="Z121">
        <f>--(SUM($Y$28:Y120)&lt;1)*AA121</f>
        <v>0</v>
      </c>
      <c r="AA121">
        <f t="shared" si="45"/>
        <v>1</v>
      </c>
      <c r="AB121" s="20"/>
      <c r="AC121">
        <f t="shared" si="46"/>
        <v>93</v>
      </c>
      <c r="AD121">
        <f t="shared" si="47"/>
        <v>2033</v>
      </c>
      <c r="AE121" s="12">
        <f t="shared" si="48"/>
        <v>48670</v>
      </c>
      <c r="AG121" s="19">
        <f t="shared" si="49"/>
        <v>0</v>
      </c>
      <c r="AH121" s="19">
        <f t="shared" si="50"/>
        <v>0</v>
      </c>
      <c r="AI121" s="19">
        <f t="shared" si="51"/>
        <v>0</v>
      </c>
      <c r="AK121" s="19">
        <f t="shared" si="52"/>
        <v>0</v>
      </c>
      <c r="AL121" s="19">
        <f ca="1">(IF(MOD(AC121,($AE$15*12)),0,$AG121-IFERROR(SUM(OFFSET(AL120,,,-$AE$15*12)),0))-SUM($AL$28:AL120)*(Z122=0))*(Z121=1)</f>
        <v>0</v>
      </c>
      <c r="AM121" s="19">
        <f t="shared" si="53"/>
        <v>0</v>
      </c>
      <c r="AN121" s="19">
        <f t="shared" si="54"/>
        <v>0</v>
      </c>
      <c r="AP121" s="19">
        <f t="shared" ca="1" si="28"/>
        <v>0</v>
      </c>
      <c r="AQ121" s="18">
        <f t="shared" si="29"/>
        <v>0.71979192248788459</v>
      </c>
    </row>
    <row r="122" spans="3:43" x14ac:dyDescent="0.25">
      <c r="C122">
        <f t="shared" si="30"/>
        <v>94</v>
      </c>
      <c r="D122">
        <f t="shared" si="31"/>
        <v>7</v>
      </c>
      <c r="E122" s="12">
        <f t="shared" si="32"/>
        <v>48700</v>
      </c>
      <c r="F122" s="12"/>
      <c r="G122" s="15">
        <f t="shared" si="33"/>
        <v>0</v>
      </c>
      <c r="H122" s="15">
        <f t="shared" si="34"/>
        <v>0</v>
      </c>
      <c r="I122" s="15"/>
      <c r="J122" s="16">
        <f t="shared" si="35"/>
        <v>0</v>
      </c>
      <c r="K122" s="16">
        <f t="shared" si="36"/>
        <v>0</v>
      </c>
      <c r="L122">
        <f t="shared" si="37"/>
        <v>0</v>
      </c>
      <c r="M122">
        <f t="shared" si="38"/>
        <v>0</v>
      </c>
      <c r="N122" s="16">
        <f t="shared" si="39"/>
        <v>0</v>
      </c>
      <c r="O122" s="16"/>
      <c r="P122" s="17">
        <f t="shared" si="40"/>
        <v>0</v>
      </c>
      <c r="Q122">
        <f>Q121/(1+Assumptions!$E$8/12)</f>
        <v>0.71725165620549003</v>
      </c>
      <c r="S122" s="17">
        <f t="shared" si="41"/>
        <v>0</v>
      </c>
      <c r="T122" s="17">
        <f>T121*(1+$K$24)*Z122</f>
        <v>0</v>
      </c>
      <c r="U122" s="17">
        <f t="shared" si="42"/>
        <v>0</v>
      </c>
      <c r="V122" s="17">
        <f t="shared" si="43"/>
        <v>0</v>
      </c>
      <c r="W122" s="17">
        <f t="shared" si="44"/>
        <v>0</v>
      </c>
      <c r="Y122">
        <f>(MONTH(E122)=MONTH(Assumptions!$E$6))*(YEAR(Assumptions!$E$6)=YEAR('Rent v Mortgage'!E122))</f>
        <v>0</v>
      </c>
      <c r="Z122">
        <f>--(SUM($Y$28:Y121)&lt;1)*AA122</f>
        <v>0</v>
      </c>
      <c r="AA122">
        <f t="shared" si="45"/>
        <v>1</v>
      </c>
      <c r="AB122" s="20"/>
      <c r="AC122">
        <f t="shared" si="46"/>
        <v>94</v>
      </c>
      <c r="AD122">
        <f t="shared" si="47"/>
        <v>2033</v>
      </c>
      <c r="AE122" s="12">
        <f t="shared" si="48"/>
        <v>48700</v>
      </c>
      <c r="AG122" s="19">
        <f t="shared" si="49"/>
        <v>0</v>
      </c>
      <c r="AH122" s="19">
        <f t="shared" si="50"/>
        <v>0</v>
      </c>
      <c r="AI122" s="19">
        <f t="shared" si="51"/>
        <v>0</v>
      </c>
      <c r="AK122" s="19">
        <f t="shared" si="52"/>
        <v>0</v>
      </c>
      <c r="AL122" s="19">
        <f ca="1">(IF(MOD(AC122,($AE$15*12)),0,$AG122-IFERROR(SUM(OFFSET(AL121,,,-$AE$15*12)),0))-SUM($AL$28:AL121)*(Z123=0))*(Z122=1)</f>
        <v>0</v>
      </c>
      <c r="AM122" s="19">
        <f t="shared" si="53"/>
        <v>0</v>
      </c>
      <c r="AN122" s="19">
        <f t="shared" si="54"/>
        <v>0</v>
      </c>
      <c r="AP122" s="19">
        <f t="shared" ca="1" si="28"/>
        <v>0</v>
      </c>
      <c r="AQ122" s="18">
        <f t="shared" si="29"/>
        <v>0.71725165620549003</v>
      </c>
    </row>
    <row r="123" spans="3:43" x14ac:dyDescent="0.25">
      <c r="C123">
        <f t="shared" si="30"/>
        <v>95</v>
      </c>
      <c r="D123">
        <f t="shared" si="31"/>
        <v>7</v>
      </c>
      <c r="E123" s="12">
        <f t="shared" si="32"/>
        <v>48731</v>
      </c>
      <c r="F123" s="12"/>
      <c r="G123" s="15">
        <f t="shared" si="33"/>
        <v>0</v>
      </c>
      <c r="H123" s="15">
        <f t="shared" si="34"/>
        <v>0</v>
      </c>
      <c r="I123" s="15"/>
      <c r="J123" s="16">
        <f t="shared" si="35"/>
        <v>0</v>
      </c>
      <c r="K123" s="16">
        <f t="shared" si="36"/>
        <v>0</v>
      </c>
      <c r="L123">
        <f t="shared" si="37"/>
        <v>0</v>
      </c>
      <c r="M123">
        <f t="shared" si="38"/>
        <v>0</v>
      </c>
      <c r="N123" s="16">
        <f t="shared" si="39"/>
        <v>0</v>
      </c>
      <c r="O123" s="16"/>
      <c r="P123" s="17">
        <f t="shared" si="40"/>
        <v>0</v>
      </c>
      <c r="Q123">
        <f>Q122/(1+Assumptions!$E$8/12)</f>
        <v>0.71472035494838115</v>
      </c>
      <c r="S123" s="17">
        <f t="shared" si="41"/>
        <v>0</v>
      </c>
      <c r="T123" s="17">
        <f>T122*(1+$K$24)*Z123</f>
        <v>0</v>
      </c>
      <c r="U123" s="17">
        <f t="shared" si="42"/>
        <v>0</v>
      </c>
      <c r="V123" s="17">
        <f t="shared" si="43"/>
        <v>0</v>
      </c>
      <c r="W123" s="17">
        <f t="shared" si="44"/>
        <v>0</v>
      </c>
      <c r="Y123">
        <f>(MONTH(E123)=MONTH(Assumptions!$E$6))*(YEAR(Assumptions!$E$6)=YEAR('Rent v Mortgage'!E123))</f>
        <v>0</v>
      </c>
      <c r="Z123">
        <f>--(SUM($Y$28:Y122)&lt;1)*AA123</f>
        <v>0</v>
      </c>
      <c r="AA123">
        <f t="shared" si="45"/>
        <v>1</v>
      </c>
      <c r="AB123" s="20"/>
      <c r="AC123">
        <f t="shared" si="46"/>
        <v>95</v>
      </c>
      <c r="AD123">
        <f t="shared" si="47"/>
        <v>2033</v>
      </c>
      <c r="AE123" s="12">
        <f t="shared" si="48"/>
        <v>48731</v>
      </c>
      <c r="AG123" s="19">
        <f t="shared" si="49"/>
        <v>0</v>
      </c>
      <c r="AH123" s="19">
        <f t="shared" si="50"/>
        <v>0</v>
      </c>
      <c r="AI123" s="19">
        <f t="shared" si="51"/>
        <v>0</v>
      </c>
      <c r="AK123" s="19">
        <f t="shared" si="52"/>
        <v>0</v>
      </c>
      <c r="AL123" s="19">
        <f ca="1">(IF(MOD(AC123,($AE$15*12)),0,$AG123-IFERROR(SUM(OFFSET(AL122,,,-$AE$15*12)),0))-SUM($AL$28:AL122)*(Z124=0))*(Z123=1)</f>
        <v>0</v>
      </c>
      <c r="AM123" s="19">
        <f t="shared" si="53"/>
        <v>0</v>
      </c>
      <c r="AN123" s="19">
        <f t="shared" si="54"/>
        <v>0</v>
      </c>
      <c r="AP123" s="19">
        <f t="shared" ca="1" si="28"/>
        <v>0</v>
      </c>
      <c r="AQ123" s="18">
        <f t="shared" si="29"/>
        <v>0.71472035494838115</v>
      </c>
    </row>
    <row r="124" spans="3:43" x14ac:dyDescent="0.25">
      <c r="C124">
        <f t="shared" si="30"/>
        <v>96</v>
      </c>
      <c r="D124">
        <f t="shared" si="31"/>
        <v>8</v>
      </c>
      <c r="E124" s="12">
        <f t="shared" si="32"/>
        <v>48761</v>
      </c>
      <c r="F124" s="12"/>
      <c r="G124" s="15">
        <f t="shared" si="33"/>
        <v>0</v>
      </c>
      <c r="H124" s="15">
        <f t="shared" si="34"/>
        <v>0</v>
      </c>
      <c r="I124" s="15"/>
      <c r="J124" s="16">
        <f t="shared" si="35"/>
        <v>0</v>
      </c>
      <c r="K124" s="16">
        <f t="shared" si="36"/>
        <v>0</v>
      </c>
      <c r="L124">
        <f t="shared" si="37"/>
        <v>0</v>
      </c>
      <c r="M124">
        <f t="shared" si="38"/>
        <v>0</v>
      </c>
      <c r="N124" s="16">
        <f t="shared" si="39"/>
        <v>0</v>
      </c>
      <c r="O124" s="16"/>
      <c r="P124" s="17">
        <f t="shared" si="40"/>
        <v>0</v>
      </c>
      <c r="Q124">
        <f>Q123/(1+Assumptions!$E$8/12)</f>
        <v>0.71219798707748161</v>
      </c>
      <c r="S124" s="17">
        <f t="shared" si="41"/>
        <v>0</v>
      </c>
      <c r="T124" s="17">
        <f>T123*(1+$K$24)*Z124</f>
        <v>0</v>
      </c>
      <c r="U124" s="17">
        <f t="shared" si="42"/>
        <v>0</v>
      </c>
      <c r="V124" s="17">
        <f t="shared" si="43"/>
        <v>0</v>
      </c>
      <c r="W124" s="17">
        <f t="shared" si="44"/>
        <v>0</v>
      </c>
      <c r="Y124">
        <f>(MONTH(E124)=MONTH(Assumptions!$E$6))*(YEAR(Assumptions!$E$6)=YEAR('Rent v Mortgage'!E124))</f>
        <v>0</v>
      </c>
      <c r="Z124">
        <f>--(SUM($Y$28:Y123)&lt;1)*AA124</f>
        <v>0</v>
      </c>
      <c r="AA124">
        <f t="shared" si="45"/>
        <v>1</v>
      </c>
      <c r="AB124" s="20"/>
      <c r="AC124">
        <f t="shared" si="46"/>
        <v>96</v>
      </c>
      <c r="AD124">
        <f t="shared" si="47"/>
        <v>2033</v>
      </c>
      <c r="AE124" s="12">
        <f t="shared" si="48"/>
        <v>48761</v>
      </c>
      <c r="AG124" s="19">
        <f t="shared" si="49"/>
        <v>0</v>
      </c>
      <c r="AH124" s="19">
        <f t="shared" si="50"/>
        <v>0</v>
      </c>
      <c r="AI124" s="19">
        <f t="shared" si="51"/>
        <v>0</v>
      </c>
      <c r="AK124" s="19">
        <f t="shared" si="52"/>
        <v>0</v>
      </c>
      <c r="AL124" s="19">
        <f ca="1">(IF(MOD(AC124,($AE$15*12)),0,$AG124-IFERROR(SUM(OFFSET(AL123,,,-$AE$15*12)),0))-SUM($AL$28:AL123)*(Z125=0))*(Z124=1)</f>
        <v>0</v>
      </c>
      <c r="AM124" s="19">
        <f t="shared" si="53"/>
        <v>0</v>
      </c>
      <c r="AN124" s="19">
        <f t="shared" si="54"/>
        <v>0</v>
      </c>
      <c r="AP124" s="19">
        <f t="shared" ca="1" si="28"/>
        <v>0</v>
      </c>
      <c r="AQ124" s="18">
        <f t="shared" si="29"/>
        <v>0.71219798707748161</v>
      </c>
    </row>
    <row r="125" spans="3:43" x14ac:dyDescent="0.25">
      <c r="C125">
        <f t="shared" si="30"/>
        <v>97</v>
      </c>
      <c r="D125">
        <f t="shared" si="31"/>
        <v>8</v>
      </c>
      <c r="E125" s="12">
        <f t="shared" si="32"/>
        <v>48792</v>
      </c>
      <c r="F125" s="12"/>
      <c r="G125" s="15">
        <f t="shared" si="33"/>
        <v>0</v>
      </c>
      <c r="H125" s="15">
        <f t="shared" si="34"/>
        <v>0</v>
      </c>
      <c r="I125" s="15"/>
      <c r="J125" s="16">
        <f t="shared" si="35"/>
        <v>0</v>
      </c>
      <c r="K125" s="16">
        <f t="shared" si="36"/>
        <v>0</v>
      </c>
      <c r="L125">
        <f t="shared" si="37"/>
        <v>0</v>
      </c>
      <c r="M125">
        <f t="shared" si="38"/>
        <v>0</v>
      </c>
      <c r="N125" s="16">
        <f t="shared" si="39"/>
        <v>0</v>
      </c>
      <c r="O125" s="16"/>
      <c r="P125" s="17">
        <f t="shared" si="40"/>
        <v>0</v>
      </c>
      <c r="Q125">
        <f>Q124/(1+Assumptions!$E$8/12)</f>
        <v>0.70968452106537494</v>
      </c>
      <c r="S125" s="17">
        <f t="shared" si="41"/>
        <v>0</v>
      </c>
      <c r="T125" s="17">
        <f>T124*(1+$K$24)*Z125</f>
        <v>0</v>
      </c>
      <c r="U125" s="17">
        <f t="shared" si="42"/>
        <v>0</v>
      </c>
      <c r="V125" s="17">
        <f t="shared" si="43"/>
        <v>0</v>
      </c>
      <c r="W125" s="17">
        <f t="shared" si="44"/>
        <v>0</v>
      </c>
      <c r="Y125">
        <f>(MONTH(E125)=MONTH(Assumptions!$E$6))*(YEAR(Assumptions!$E$6)=YEAR('Rent v Mortgage'!E125))</f>
        <v>0</v>
      </c>
      <c r="Z125">
        <f>--(SUM($Y$28:Y124)&lt;1)*AA125</f>
        <v>0</v>
      </c>
      <c r="AA125">
        <f t="shared" si="45"/>
        <v>1</v>
      </c>
      <c r="AB125" s="20"/>
      <c r="AC125">
        <f t="shared" si="46"/>
        <v>97</v>
      </c>
      <c r="AD125">
        <f t="shared" si="47"/>
        <v>2033</v>
      </c>
      <c r="AE125" s="12">
        <f t="shared" si="48"/>
        <v>48792</v>
      </c>
      <c r="AG125" s="19">
        <f t="shared" si="49"/>
        <v>0</v>
      </c>
      <c r="AH125" s="19">
        <f t="shared" si="50"/>
        <v>0</v>
      </c>
      <c r="AI125" s="19">
        <f t="shared" si="51"/>
        <v>0</v>
      </c>
      <c r="AK125" s="19">
        <f t="shared" si="52"/>
        <v>0</v>
      </c>
      <c r="AL125" s="19">
        <f ca="1">(IF(MOD(AC125,($AE$15*12)),0,$AG125-IFERROR(SUM(OFFSET(AL124,,,-$AE$15*12)),0))-SUM($AL$28:AL124)*(Z126=0))*(Z125=1)</f>
        <v>0</v>
      </c>
      <c r="AM125" s="19">
        <f t="shared" si="53"/>
        <v>0</v>
      </c>
      <c r="AN125" s="19">
        <f t="shared" si="54"/>
        <v>0</v>
      </c>
      <c r="AP125" s="19">
        <f t="shared" ca="1" si="28"/>
        <v>0</v>
      </c>
      <c r="AQ125" s="18">
        <f t="shared" si="29"/>
        <v>0.70968452106537494</v>
      </c>
    </row>
    <row r="126" spans="3:43" x14ac:dyDescent="0.25">
      <c r="C126">
        <f t="shared" si="30"/>
        <v>98</v>
      </c>
      <c r="D126">
        <f t="shared" si="31"/>
        <v>8</v>
      </c>
      <c r="E126" s="12">
        <f t="shared" si="32"/>
        <v>48823</v>
      </c>
      <c r="F126" s="12"/>
      <c r="G126" s="15">
        <f t="shared" si="33"/>
        <v>0</v>
      </c>
      <c r="H126" s="15">
        <f t="shared" si="34"/>
        <v>0</v>
      </c>
      <c r="I126" s="15"/>
      <c r="J126" s="16">
        <f t="shared" si="35"/>
        <v>0</v>
      </c>
      <c r="K126" s="16">
        <f t="shared" si="36"/>
        <v>0</v>
      </c>
      <c r="L126">
        <f t="shared" si="37"/>
        <v>0</v>
      </c>
      <c r="M126">
        <f t="shared" si="38"/>
        <v>0</v>
      </c>
      <c r="N126" s="16">
        <f t="shared" si="39"/>
        <v>0</v>
      </c>
      <c r="O126" s="16"/>
      <c r="P126" s="17">
        <f t="shared" si="40"/>
        <v>0</v>
      </c>
      <c r="Q126">
        <f>Q125/(1+Assumptions!$E$8/12)</f>
        <v>0.70717992549591013</v>
      </c>
      <c r="S126" s="17">
        <f t="shared" si="41"/>
        <v>0</v>
      </c>
      <c r="T126" s="17">
        <f>T125*(1+$K$24)*Z126</f>
        <v>0</v>
      </c>
      <c r="U126" s="17">
        <f t="shared" si="42"/>
        <v>0</v>
      </c>
      <c r="V126" s="17">
        <f t="shared" si="43"/>
        <v>0</v>
      </c>
      <c r="W126" s="17">
        <f t="shared" si="44"/>
        <v>0</v>
      </c>
      <c r="Y126">
        <f>(MONTH(E126)=MONTH(Assumptions!$E$6))*(YEAR(Assumptions!$E$6)=YEAR('Rent v Mortgage'!E126))</f>
        <v>0</v>
      </c>
      <c r="Z126">
        <f>--(SUM($Y$28:Y125)&lt;1)*AA126</f>
        <v>0</v>
      </c>
      <c r="AA126">
        <f t="shared" si="45"/>
        <v>1</v>
      </c>
      <c r="AB126" s="20"/>
      <c r="AC126">
        <f t="shared" si="46"/>
        <v>98</v>
      </c>
      <c r="AD126">
        <f t="shared" si="47"/>
        <v>2033</v>
      </c>
      <c r="AE126" s="12">
        <f t="shared" si="48"/>
        <v>48823</v>
      </c>
      <c r="AG126" s="19">
        <f t="shared" si="49"/>
        <v>0</v>
      </c>
      <c r="AH126" s="19">
        <f t="shared" si="50"/>
        <v>0</v>
      </c>
      <c r="AI126" s="19">
        <f t="shared" si="51"/>
        <v>0</v>
      </c>
      <c r="AK126" s="19">
        <f t="shared" si="52"/>
        <v>0</v>
      </c>
      <c r="AL126" s="19">
        <f ca="1">(IF(MOD(AC126,($AE$15*12)),0,$AG126-IFERROR(SUM(OFFSET(AL125,,,-$AE$15*12)),0))-SUM($AL$28:AL125)*(Z127=0))*(Z126=1)</f>
        <v>0</v>
      </c>
      <c r="AM126" s="19">
        <f t="shared" si="53"/>
        <v>0</v>
      </c>
      <c r="AN126" s="19">
        <f t="shared" si="54"/>
        <v>0</v>
      </c>
      <c r="AP126" s="19">
        <f t="shared" ca="1" si="28"/>
        <v>0</v>
      </c>
      <c r="AQ126" s="18">
        <f t="shared" si="29"/>
        <v>0.70717992549591013</v>
      </c>
    </row>
    <row r="127" spans="3:43" x14ac:dyDescent="0.25">
      <c r="C127">
        <f t="shared" si="30"/>
        <v>99</v>
      </c>
      <c r="D127">
        <f t="shared" si="31"/>
        <v>8</v>
      </c>
      <c r="E127" s="12">
        <f t="shared" si="32"/>
        <v>48853</v>
      </c>
      <c r="F127" s="12"/>
      <c r="G127" s="15">
        <f t="shared" si="33"/>
        <v>0</v>
      </c>
      <c r="H127" s="15">
        <f t="shared" si="34"/>
        <v>0</v>
      </c>
      <c r="I127" s="15"/>
      <c r="J127" s="16">
        <f t="shared" si="35"/>
        <v>0</v>
      </c>
      <c r="K127" s="16">
        <f t="shared" si="36"/>
        <v>0</v>
      </c>
      <c r="L127">
        <f t="shared" si="37"/>
        <v>0</v>
      </c>
      <c r="M127">
        <f t="shared" si="38"/>
        <v>0</v>
      </c>
      <c r="N127" s="16">
        <f t="shared" si="39"/>
        <v>0</v>
      </c>
      <c r="O127" s="16"/>
      <c r="P127" s="17">
        <f t="shared" si="40"/>
        <v>0</v>
      </c>
      <c r="Q127">
        <f>Q126/(1+Assumptions!$E$8/12)</f>
        <v>0.70468416906380904</v>
      </c>
      <c r="S127" s="17">
        <f t="shared" si="41"/>
        <v>0</v>
      </c>
      <c r="T127" s="17">
        <f>T126*(1+$K$24)*Z127</f>
        <v>0</v>
      </c>
      <c r="U127" s="17">
        <f t="shared" si="42"/>
        <v>0</v>
      </c>
      <c r="V127" s="17">
        <f t="shared" si="43"/>
        <v>0</v>
      </c>
      <c r="W127" s="17">
        <f t="shared" si="44"/>
        <v>0</v>
      </c>
      <c r="Y127">
        <f>(MONTH(E127)=MONTH(Assumptions!$E$6))*(YEAR(Assumptions!$E$6)=YEAR('Rent v Mortgage'!E127))</f>
        <v>0</v>
      </c>
      <c r="Z127">
        <f>--(SUM($Y$28:Y126)&lt;1)*AA127</f>
        <v>0</v>
      </c>
      <c r="AA127">
        <f t="shared" si="45"/>
        <v>1</v>
      </c>
      <c r="AB127" s="20"/>
      <c r="AC127">
        <f t="shared" si="46"/>
        <v>99</v>
      </c>
      <c r="AD127">
        <f t="shared" si="47"/>
        <v>2033</v>
      </c>
      <c r="AE127" s="12">
        <f t="shared" si="48"/>
        <v>48853</v>
      </c>
      <c r="AG127" s="19">
        <f t="shared" si="49"/>
        <v>0</v>
      </c>
      <c r="AH127" s="19">
        <f t="shared" si="50"/>
        <v>0</v>
      </c>
      <c r="AI127" s="19">
        <f t="shared" si="51"/>
        <v>0</v>
      </c>
      <c r="AK127" s="19">
        <f t="shared" si="52"/>
        <v>0</v>
      </c>
      <c r="AL127" s="19">
        <f ca="1">(IF(MOD(AC127,($AE$15*12)),0,$AG127-IFERROR(SUM(OFFSET(AL126,,,-$AE$15*12)),0))-SUM($AL$28:AL126)*(Z128=0))*(Z127=1)</f>
        <v>0</v>
      </c>
      <c r="AM127" s="19">
        <f t="shared" si="53"/>
        <v>0</v>
      </c>
      <c r="AN127" s="19">
        <f t="shared" si="54"/>
        <v>0</v>
      </c>
      <c r="AP127" s="19">
        <f t="shared" ca="1" si="28"/>
        <v>0</v>
      </c>
      <c r="AQ127" s="18">
        <f t="shared" si="29"/>
        <v>0.70468416906380904</v>
      </c>
    </row>
    <row r="128" spans="3:43" x14ac:dyDescent="0.25">
      <c r="C128">
        <f t="shared" si="30"/>
        <v>100</v>
      </c>
      <c r="D128">
        <f t="shared" si="31"/>
        <v>8</v>
      </c>
      <c r="E128" s="12">
        <f t="shared" si="32"/>
        <v>48884</v>
      </c>
      <c r="F128" s="12"/>
      <c r="G128" s="15">
        <f t="shared" si="33"/>
        <v>0</v>
      </c>
      <c r="H128" s="15">
        <f t="shared" si="34"/>
        <v>0</v>
      </c>
      <c r="I128" s="15"/>
      <c r="J128" s="16">
        <f t="shared" si="35"/>
        <v>0</v>
      </c>
      <c r="K128" s="16">
        <f t="shared" si="36"/>
        <v>0</v>
      </c>
      <c r="L128">
        <f t="shared" si="37"/>
        <v>0</v>
      </c>
      <c r="M128">
        <f t="shared" si="38"/>
        <v>0</v>
      </c>
      <c r="N128" s="16">
        <f t="shared" si="39"/>
        <v>0</v>
      </c>
      <c r="O128" s="16"/>
      <c r="P128" s="17">
        <f t="shared" si="40"/>
        <v>0</v>
      </c>
      <c r="Q128">
        <f>Q127/(1+Assumptions!$E$8/12)</f>
        <v>0.70219722057427503</v>
      </c>
      <c r="S128" s="17">
        <f t="shared" si="41"/>
        <v>0</v>
      </c>
      <c r="T128" s="17">
        <f>T127*(1+$K$24)*Z128</f>
        <v>0</v>
      </c>
      <c r="U128" s="17">
        <f t="shared" si="42"/>
        <v>0</v>
      </c>
      <c r="V128" s="17">
        <f t="shared" si="43"/>
        <v>0</v>
      </c>
      <c r="W128" s="17">
        <f t="shared" si="44"/>
        <v>0</v>
      </c>
      <c r="Y128">
        <f>(MONTH(E128)=MONTH(Assumptions!$E$6))*(YEAR(Assumptions!$E$6)=YEAR('Rent v Mortgage'!E128))</f>
        <v>0</v>
      </c>
      <c r="Z128">
        <f>--(SUM($Y$28:Y127)&lt;1)*AA128</f>
        <v>0</v>
      </c>
      <c r="AA128">
        <f t="shared" si="45"/>
        <v>1</v>
      </c>
      <c r="AB128" s="20"/>
      <c r="AC128">
        <f t="shared" si="46"/>
        <v>100</v>
      </c>
      <c r="AD128">
        <f t="shared" si="47"/>
        <v>2033</v>
      </c>
      <c r="AE128" s="12">
        <f t="shared" si="48"/>
        <v>48884</v>
      </c>
      <c r="AG128" s="19">
        <f t="shared" si="49"/>
        <v>0</v>
      </c>
      <c r="AH128" s="19">
        <f t="shared" si="50"/>
        <v>0</v>
      </c>
      <c r="AI128" s="19">
        <f t="shared" si="51"/>
        <v>0</v>
      </c>
      <c r="AK128" s="19">
        <f t="shared" si="52"/>
        <v>0</v>
      </c>
      <c r="AL128" s="19">
        <f ca="1">(IF(MOD(AC128,($AE$15*12)),0,$AG128-IFERROR(SUM(OFFSET(AL127,,,-$AE$15*12)),0))-SUM($AL$28:AL127)*(Z129=0))*(Z128=1)</f>
        <v>0</v>
      </c>
      <c r="AM128" s="19">
        <f t="shared" si="53"/>
        <v>0</v>
      </c>
      <c r="AN128" s="19">
        <f t="shared" si="54"/>
        <v>0</v>
      </c>
      <c r="AP128" s="19">
        <f t="shared" ca="1" si="28"/>
        <v>0</v>
      </c>
      <c r="AQ128" s="18">
        <f t="shared" si="29"/>
        <v>0.70219722057427503</v>
      </c>
    </row>
    <row r="129" spans="3:43" x14ac:dyDescent="0.25">
      <c r="C129">
        <f t="shared" si="30"/>
        <v>101</v>
      </c>
      <c r="D129">
        <f t="shared" si="31"/>
        <v>8</v>
      </c>
      <c r="E129" s="12">
        <f t="shared" si="32"/>
        <v>48914</v>
      </c>
      <c r="F129" s="12"/>
      <c r="G129" s="15">
        <f t="shared" si="33"/>
        <v>0</v>
      </c>
      <c r="H129" s="15">
        <f t="shared" si="34"/>
        <v>0</v>
      </c>
      <c r="I129" s="15"/>
      <c r="J129" s="16">
        <f t="shared" si="35"/>
        <v>0</v>
      </c>
      <c r="K129" s="16">
        <f t="shared" si="36"/>
        <v>0</v>
      </c>
      <c r="L129">
        <f t="shared" si="37"/>
        <v>0</v>
      </c>
      <c r="M129">
        <f t="shared" si="38"/>
        <v>0</v>
      </c>
      <c r="N129" s="16">
        <f t="shared" si="39"/>
        <v>0</v>
      </c>
      <c r="O129" s="16"/>
      <c r="P129" s="17">
        <f t="shared" si="40"/>
        <v>0</v>
      </c>
      <c r="Q129">
        <f>Q128/(1+Assumptions!$E$8/12)</f>
        <v>0.69971904894260328</v>
      </c>
      <c r="S129" s="17">
        <f t="shared" si="41"/>
        <v>0</v>
      </c>
      <c r="T129" s="17">
        <f>T128*(1+$K$24)*Z129</f>
        <v>0</v>
      </c>
      <c r="U129" s="17">
        <f t="shared" si="42"/>
        <v>0</v>
      </c>
      <c r="V129" s="17">
        <f t="shared" si="43"/>
        <v>0</v>
      </c>
      <c r="W129" s="17">
        <f t="shared" si="44"/>
        <v>0</v>
      </c>
      <c r="Y129">
        <f>(MONTH(E129)=MONTH(Assumptions!$E$6))*(YEAR(Assumptions!$E$6)=YEAR('Rent v Mortgage'!E129))</f>
        <v>0</v>
      </c>
      <c r="Z129">
        <f>--(SUM($Y$28:Y128)&lt;1)*AA129</f>
        <v>0</v>
      </c>
      <c r="AA129">
        <f t="shared" si="45"/>
        <v>1</v>
      </c>
      <c r="AB129" s="20"/>
      <c r="AC129">
        <f t="shared" si="46"/>
        <v>101</v>
      </c>
      <c r="AD129">
        <f t="shared" si="47"/>
        <v>2033</v>
      </c>
      <c r="AE129" s="12">
        <f t="shared" si="48"/>
        <v>48914</v>
      </c>
      <c r="AG129" s="19">
        <f t="shared" si="49"/>
        <v>0</v>
      </c>
      <c r="AH129" s="19">
        <f t="shared" si="50"/>
        <v>0</v>
      </c>
      <c r="AI129" s="19">
        <f t="shared" si="51"/>
        <v>0</v>
      </c>
      <c r="AK129" s="19">
        <f t="shared" si="52"/>
        <v>0</v>
      </c>
      <c r="AL129" s="19">
        <f ca="1">(IF(MOD(AC129,($AE$15*12)),0,$AG129-IFERROR(SUM(OFFSET(AL128,,,-$AE$15*12)),0))-SUM($AL$28:AL128)*(Z130=0))*(Z129=1)</f>
        <v>0</v>
      </c>
      <c r="AM129" s="19">
        <f t="shared" si="53"/>
        <v>0</v>
      </c>
      <c r="AN129" s="19">
        <f t="shared" si="54"/>
        <v>0</v>
      </c>
      <c r="AP129" s="19">
        <f t="shared" ca="1" si="28"/>
        <v>0</v>
      </c>
      <c r="AQ129" s="18">
        <f t="shared" si="29"/>
        <v>0.69971904894260328</v>
      </c>
    </row>
    <row r="130" spans="3:43" x14ac:dyDescent="0.25">
      <c r="C130">
        <f t="shared" si="30"/>
        <v>102</v>
      </c>
      <c r="D130">
        <f t="shared" si="31"/>
        <v>8</v>
      </c>
      <c r="E130" s="12">
        <f t="shared" si="32"/>
        <v>48945</v>
      </c>
      <c r="F130" s="12"/>
      <c r="G130" s="15">
        <f t="shared" si="33"/>
        <v>0</v>
      </c>
      <c r="H130" s="15">
        <f t="shared" si="34"/>
        <v>0</v>
      </c>
      <c r="I130" s="15"/>
      <c r="J130" s="16">
        <f t="shared" si="35"/>
        <v>0</v>
      </c>
      <c r="K130" s="16">
        <f t="shared" si="36"/>
        <v>0</v>
      </c>
      <c r="L130">
        <f t="shared" si="37"/>
        <v>0</v>
      </c>
      <c r="M130">
        <f t="shared" si="38"/>
        <v>0</v>
      </c>
      <c r="N130" s="16">
        <f t="shared" si="39"/>
        <v>0</v>
      </c>
      <c r="O130" s="16"/>
      <c r="P130" s="17">
        <f t="shared" si="40"/>
        <v>0</v>
      </c>
      <c r="Q130">
        <f>Q129/(1+Assumptions!$E$8/12)</f>
        <v>0.69724962319379191</v>
      </c>
      <c r="S130" s="17">
        <f t="shared" si="41"/>
        <v>0</v>
      </c>
      <c r="T130" s="17">
        <f>T129*(1+$K$24)*Z130</f>
        <v>0</v>
      </c>
      <c r="U130" s="17">
        <f t="shared" si="42"/>
        <v>0</v>
      </c>
      <c r="V130" s="17">
        <f t="shared" si="43"/>
        <v>0</v>
      </c>
      <c r="W130" s="17">
        <f t="shared" si="44"/>
        <v>0</v>
      </c>
      <c r="Y130">
        <f>(MONTH(E130)=MONTH(Assumptions!$E$6))*(YEAR(Assumptions!$E$6)=YEAR('Rent v Mortgage'!E130))</f>
        <v>0</v>
      </c>
      <c r="Z130">
        <f>--(SUM($Y$28:Y129)&lt;1)*AA130</f>
        <v>0</v>
      </c>
      <c r="AA130">
        <f t="shared" si="45"/>
        <v>1</v>
      </c>
      <c r="AB130" s="20"/>
      <c r="AC130">
        <f t="shared" si="46"/>
        <v>102</v>
      </c>
      <c r="AD130">
        <f t="shared" si="47"/>
        <v>2034</v>
      </c>
      <c r="AE130" s="12">
        <f t="shared" si="48"/>
        <v>48945</v>
      </c>
      <c r="AG130" s="19">
        <f t="shared" si="49"/>
        <v>0</v>
      </c>
      <c r="AH130" s="19">
        <f t="shared" si="50"/>
        <v>0</v>
      </c>
      <c r="AI130" s="19">
        <f t="shared" si="51"/>
        <v>0</v>
      </c>
      <c r="AK130" s="19">
        <f t="shared" si="52"/>
        <v>0</v>
      </c>
      <c r="AL130" s="19">
        <f ca="1">(IF(MOD(AC130,($AE$15*12)),0,$AG130-IFERROR(SUM(OFFSET(AL129,,,-$AE$15*12)),0))-SUM($AL$28:AL129)*(Z131=0))*(Z130=1)</f>
        <v>0</v>
      </c>
      <c r="AM130" s="19">
        <f t="shared" si="53"/>
        <v>0</v>
      </c>
      <c r="AN130" s="19">
        <f t="shared" si="54"/>
        <v>0</v>
      </c>
      <c r="AP130" s="19">
        <f t="shared" ca="1" si="28"/>
        <v>0</v>
      </c>
      <c r="AQ130" s="18">
        <f t="shared" si="29"/>
        <v>0.69724962319379191</v>
      </c>
    </row>
    <row r="131" spans="3:43" x14ac:dyDescent="0.25">
      <c r="C131">
        <f t="shared" si="30"/>
        <v>103</v>
      </c>
      <c r="D131">
        <f t="shared" si="31"/>
        <v>8</v>
      </c>
      <c r="E131" s="12">
        <f t="shared" si="32"/>
        <v>48976</v>
      </c>
      <c r="F131" s="12"/>
      <c r="G131" s="15">
        <f t="shared" si="33"/>
        <v>0</v>
      </c>
      <c r="H131" s="15">
        <f t="shared" si="34"/>
        <v>0</v>
      </c>
      <c r="I131" s="15"/>
      <c r="J131" s="16">
        <f t="shared" si="35"/>
        <v>0</v>
      </c>
      <c r="K131" s="16">
        <f t="shared" si="36"/>
        <v>0</v>
      </c>
      <c r="L131">
        <f t="shared" si="37"/>
        <v>0</v>
      </c>
      <c r="M131">
        <f t="shared" si="38"/>
        <v>0</v>
      </c>
      <c r="N131" s="16">
        <f t="shared" si="39"/>
        <v>0</v>
      </c>
      <c r="O131" s="16"/>
      <c r="P131" s="17">
        <f t="shared" si="40"/>
        <v>0</v>
      </c>
      <c r="Q131">
        <f>Q130/(1+Assumptions!$E$8/12)</f>
        <v>0.69478891246215502</v>
      </c>
      <c r="S131" s="17">
        <f t="shared" si="41"/>
        <v>0</v>
      </c>
      <c r="T131" s="17">
        <f>T130*(1+$K$24)*Z131</f>
        <v>0</v>
      </c>
      <c r="U131" s="17">
        <f t="shared" si="42"/>
        <v>0</v>
      </c>
      <c r="V131" s="17">
        <f t="shared" si="43"/>
        <v>0</v>
      </c>
      <c r="W131" s="17">
        <f t="shared" si="44"/>
        <v>0</v>
      </c>
      <c r="Y131">
        <f>(MONTH(E131)=MONTH(Assumptions!$E$6))*(YEAR(Assumptions!$E$6)=YEAR('Rent v Mortgage'!E131))</f>
        <v>0</v>
      </c>
      <c r="Z131">
        <f>--(SUM($Y$28:Y130)&lt;1)*AA131</f>
        <v>0</v>
      </c>
      <c r="AA131">
        <f t="shared" si="45"/>
        <v>1</v>
      </c>
      <c r="AB131" s="20"/>
      <c r="AC131">
        <f t="shared" si="46"/>
        <v>103</v>
      </c>
      <c r="AD131">
        <f t="shared" si="47"/>
        <v>2034</v>
      </c>
      <c r="AE131" s="12">
        <f t="shared" si="48"/>
        <v>48976</v>
      </c>
      <c r="AG131" s="19">
        <f t="shared" si="49"/>
        <v>0</v>
      </c>
      <c r="AH131" s="19">
        <f t="shared" si="50"/>
        <v>0</v>
      </c>
      <c r="AI131" s="19">
        <f t="shared" si="51"/>
        <v>0</v>
      </c>
      <c r="AK131" s="19">
        <f t="shared" si="52"/>
        <v>0</v>
      </c>
      <c r="AL131" s="19">
        <f ca="1">(IF(MOD(AC131,($AE$15*12)),0,$AG131-IFERROR(SUM(OFFSET(AL130,,,-$AE$15*12)),0))-SUM($AL$28:AL130)*(Z132=0))*(Z131=1)</f>
        <v>0</v>
      </c>
      <c r="AM131" s="19">
        <f t="shared" si="53"/>
        <v>0</v>
      </c>
      <c r="AN131" s="19">
        <f t="shared" si="54"/>
        <v>0</v>
      </c>
      <c r="AP131" s="19">
        <f t="shared" ca="1" si="28"/>
        <v>0</v>
      </c>
      <c r="AQ131" s="18">
        <f t="shared" si="29"/>
        <v>0.69478891246215502</v>
      </c>
    </row>
    <row r="132" spans="3:43" x14ac:dyDescent="0.25">
      <c r="C132">
        <f t="shared" si="30"/>
        <v>104</v>
      </c>
      <c r="D132">
        <f t="shared" si="31"/>
        <v>8</v>
      </c>
      <c r="E132" s="12">
        <f t="shared" si="32"/>
        <v>49004</v>
      </c>
      <c r="F132" s="12"/>
      <c r="G132" s="15">
        <f t="shared" si="33"/>
        <v>0</v>
      </c>
      <c r="H132" s="15">
        <f t="shared" si="34"/>
        <v>0</v>
      </c>
      <c r="I132" s="15"/>
      <c r="J132" s="16">
        <f t="shared" si="35"/>
        <v>0</v>
      </c>
      <c r="K132" s="16">
        <f t="shared" si="36"/>
        <v>0</v>
      </c>
      <c r="L132">
        <f t="shared" si="37"/>
        <v>0</v>
      </c>
      <c r="M132">
        <f t="shared" si="38"/>
        <v>0</v>
      </c>
      <c r="N132" s="16">
        <f t="shared" si="39"/>
        <v>0</v>
      </c>
      <c r="O132" s="16"/>
      <c r="P132" s="17">
        <f t="shared" si="40"/>
        <v>0</v>
      </c>
      <c r="Q132">
        <f>Q131/(1+Assumptions!$E$8/12)</f>
        <v>0.69233688599093701</v>
      </c>
      <c r="S132" s="17">
        <f t="shared" si="41"/>
        <v>0</v>
      </c>
      <c r="T132" s="17">
        <f>T131*(1+$K$24)*Z132</f>
        <v>0</v>
      </c>
      <c r="U132" s="17">
        <f t="shared" si="42"/>
        <v>0</v>
      </c>
      <c r="V132" s="17">
        <f t="shared" si="43"/>
        <v>0</v>
      </c>
      <c r="W132" s="17">
        <f t="shared" si="44"/>
        <v>0</v>
      </c>
      <c r="Y132">
        <f>(MONTH(E132)=MONTH(Assumptions!$E$6))*(YEAR(Assumptions!$E$6)=YEAR('Rent v Mortgage'!E132))</f>
        <v>0</v>
      </c>
      <c r="Z132">
        <f>--(SUM($Y$28:Y131)&lt;1)*AA132</f>
        <v>0</v>
      </c>
      <c r="AA132">
        <f t="shared" si="45"/>
        <v>1</v>
      </c>
      <c r="AB132" s="20"/>
      <c r="AC132">
        <f t="shared" si="46"/>
        <v>104</v>
      </c>
      <c r="AD132">
        <f t="shared" si="47"/>
        <v>2034</v>
      </c>
      <c r="AE132" s="12">
        <f t="shared" si="48"/>
        <v>49004</v>
      </c>
      <c r="AG132" s="19">
        <f t="shared" si="49"/>
        <v>0</v>
      </c>
      <c r="AH132" s="19">
        <f t="shared" si="50"/>
        <v>0</v>
      </c>
      <c r="AI132" s="19">
        <f t="shared" si="51"/>
        <v>0</v>
      </c>
      <c r="AK132" s="19">
        <f t="shared" si="52"/>
        <v>0</v>
      </c>
      <c r="AL132" s="19">
        <f ca="1">(IF(MOD(AC132,($AE$15*12)),0,$AG132-IFERROR(SUM(OFFSET(AL131,,,-$AE$15*12)),0))-SUM($AL$28:AL131)*(Z133=0))*(Z132=1)</f>
        <v>0</v>
      </c>
      <c r="AM132" s="19">
        <f t="shared" si="53"/>
        <v>0</v>
      </c>
      <c r="AN132" s="19">
        <f t="shared" si="54"/>
        <v>0</v>
      </c>
      <c r="AP132" s="19">
        <f t="shared" ca="1" si="28"/>
        <v>0</v>
      </c>
      <c r="AQ132" s="18">
        <f t="shared" si="29"/>
        <v>0.69233688599093701</v>
      </c>
    </row>
    <row r="133" spans="3:43" x14ac:dyDescent="0.25">
      <c r="C133">
        <f t="shared" si="30"/>
        <v>105</v>
      </c>
      <c r="D133">
        <f t="shared" si="31"/>
        <v>8</v>
      </c>
      <c r="E133" s="12">
        <f t="shared" si="32"/>
        <v>49035</v>
      </c>
      <c r="F133" s="12"/>
      <c r="G133" s="15">
        <f t="shared" si="33"/>
        <v>0</v>
      </c>
      <c r="H133" s="15">
        <f t="shared" si="34"/>
        <v>0</v>
      </c>
      <c r="I133" s="15"/>
      <c r="J133" s="16">
        <f t="shared" si="35"/>
        <v>0</v>
      </c>
      <c r="K133" s="16">
        <f t="shared" si="36"/>
        <v>0</v>
      </c>
      <c r="L133">
        <f t="shared" si="37"/>
        <v>0</v>
      </c>
      <c r="M133">
        <f t="shared" si="38"/>
        <v>0</v>
      </c>
      <c r="N133" s="16">
        <f t="shared" si="39"/>
        <v>0</v>
      </c>
      <c r="O133" s="16"/>
      <c r="P133" s="17">
        <f t="shared" si="40"/>
        <v>0</v>
      </c>
      <c r="Q133">
        <f>Q132/(1+Assumptions!$E$8/12)</f>
        <v>0.68989351313192804</v>
      </c>
      <c r="S133" s="17">
        <f t="shared" si="41"/>
        <v>0</v>
      </c>
      <c r="T133" s="17">
        <f>T132*(1+$K$24)*Z133</f>
        <v>0</v>
      </c>
      <c r="U133" s="17">
        <f t="shared" si="42"/>
        <v>0</v>
      </c>
      <c r="V133" s="17">
        <f t="shared" si="43"/>
        <v>0</v>
      </c>
      <c r="W133" s="17">
        <f t="shared" si="44"/>
        <v>0</v>
      </c>
      <c r="Y133">
        <f>(MONTH(E133)=MONTH(Assumptions!$E$6))*(YEAR(Assumptions!$E$6)=YEAR('Rent v Mortgage'!E133))</f>
        <v>0</v>
      </c>
      <c r="Z133">
        <f>--(SUM($Y$28:Y132)&lt;1)*AA133</f>
        <v>0</v>
      </c>
      <c r="AA133">
        <f t="shared" si="45"/>
        <v>1</v>
      </c>
      <c r="AB133" s="20"/>
      <c r="AC133">
        <f t="shared" si="46"/>
        <v>105</v>
      </c>
      <c r="AD133">
        <f t="shared" si="47"/>
        <v>2034</v>
      </c>
      <c r="AE133" s="12">
        <f t="shared" si="48"/>
        <v>49035</v>
      </c>
      <c r="AG133" s="19">
        <f t="shared" si="49"/>
        <v>0</v>
      </c>
      <c r="AH133" s="19">
        <f t="shared" si="50"/>
        <v>0</v>
      </c>
      <c r="AI133" s="19">
        <f t="shared" si="51"/>
        <v>0</v>
      </c>
      <c r="AK133" s="19">
        <f t="shared" si="52"/>
        <v>0</v>
      </c>
      <c r="AL133" s="19">
        <f ca="1">(IF(MOD(AC133,($AE$15*12)),0,$AG133-IFERROR(SUM(OFFSET(AL132,,,-$AE$15*12)),0))-SUM($AL$28:AL132)*(Z134=0))*(Z133=1)</f>
        <v>0</v>
      </c>
      <c r="AM133" s="19">
        <f t="shared" si="53"/>
        <v>0</v>
      </c>
      <c r="AN133" s="19">
        <f t="shared" si="54"/>
        <v>0</v>
      </c>
      <c r="AP133" s="19">
        <f t="shared" ca="1" si="28"/>
        <v>0</v>
      </c>
      <c r="AQ133" s="18">
        <f t="shared" si="29"/>
        <v>0.68989351313192804</v>
      </c>
    </row>
    <row r="134" spans="3:43" x14ac:dyDescent="0.25">
      <c r="C134">
        <f t="shared" si="30"/>
        <v>106</v>
      </c>
      <c r="D134">
        <f t="shared" si="31"/>
        <v>8</v>
      </c>
      <c r="E134" s="12">
        <f t="shared" si="32"/>
        <v>49065</v>
      </c>
      <c r="F134" s="12"/>
      <c r="G134" s="15">
        <f t="shared" si="33"/>
        <v>0</v>
      </c>
      <c r="H134" s="15">
        <f t="shared" si="34"/>
        <v>0</v>
      </c>
      <c r="I134" s="15"/>
      <c r="J134" s="16">
        <f t="shared" si="35"/>
        <v>0</v>
      </c>
      <c r="K134" s="16">
        <f t="shared" si="36"/>
        <v>0</v>
      </c>
      <c r="L134">
        <f t="shared" si="37"/>
        <v>0</v>
      </c>
      <c r="M134">
        <f t="shared" si="38"/>
        <v>0</v>
      </c>
      <c r="N134" s="16">
        <f t="shared" si="39"/>
        <v>0</v>
      </c>
      <c r="O134" s="16"/>
      <c r="P134" s="17">
        <f t="shared" si="40"/>
        <v>0</v>
      </c>
      <c r="Q134">
        <f>Q133/(1+Assumptions!$E$8/12)</f>
        <v>0.68745876334508083</v>
      </c>
      <c r="S134" s="17">
        <f t="shared" si="41"/>
        <v>0</v>
      </c>
      <c r="T134" s="17">
        <f>T133*(1+$K$24)*Z134</f>
        <v>0</v>
      </c>
      <c r="U134" s="17">
        <f t="shared" si="42"/>
        <v>0</v>
      </c>
      <c r="V134" s="17">
        <f t="shared" si="43"/>
        <v>0</v>
      </c>
      <c r="W134" s="17">
        <f t="shared" si="44"/>
        <v>0</v>
      </c>
      <c r="Y134">
        <f>(MONTH(E134)=MONTH(Assumptions!$E$6))*(YEAR(Assumptions!$E$6)=YEAR('Rent v Mortgage'!E134))</f>
        <v>0</v>
      </c>
      <c r="Z134">
        <f>--(SUM($Y$28:Y133)&lt;1)*AA134</f>
        <v>0</v>
      </c>
      <c r="AA134">
        <f t="shared" si="45"/>
        <v>1</v>
      </c>
      <c r="AB134" s="20"/>
      <c r="AC134">
        <f t="shared" si="46"/>
        <v>106</v>
      </c>
      <c r="AD134">
        <f t="shared" si="47"/>
        <v>2034</v>
      </c>
      <c r="AE134" s="12">
        <f t="shared" si="48"/>
        <v>49065</v>
      </c>
      <c r="AG134" s="19">
        <f t="shared" si="49"/>
        <v>0</v>
      </c>
      <c r="AH134" s="19">
        <f t="shared" si="50"/>
        <v>0</v>
      </c>
      <c r="AI134" s="19">
        <f t="shared" si="51"/>
        <v>0</v>
      </c>
      <c r="AK134" s="19">
        <f t="shared" si="52"/>
        <v>0</v>
      </c>
      <c r="AL134" s="19">
        <f ca="1">(IF(MOD(AC134,($AE$15*12)),0,$AG134-IFERROR(SUM(OFFSET(AL133,,,-$AE$15*12)),0))-SUM($AL$28:AL133)*(Z135=0))*(Z134=1)</f>
        <v>0</v>
      </c>
      <c r="AM134" s="19">
        <f t="shared" si="53"/>
        <v>0</v>
      </c>
      <c r="AN134" s="19">
        <f t="shared" si="54"/>
        <v>0</v>
      </c>
      <c r="AP134" s="19">
        <f t="shared" ca="1" si="28"/>
        <v>0</v>
      </c>
      <c r="AQ134" s="18">
        <f t="shared" si="29"/>
        <v>0.68745876334508083</v>
      </c>
    </row>
    <row r="135" spans="3:43" x14ac:dyDescent="0.25">
      <c r="C135">
        <f t="shared" si="30"/>
        <v>107</v>
      </c>
      <c r="D135">
        <f t="shared" si="31"/>
        <v>8</v>
      </c>
      <c r="E135" s="12">
        <f t="shared" si="32"/>
        <v>49096</v>
      </c>
      <c r="F135" s="12"/>
      <c r="G135" s="15">
        <f t="shared" si="33"/>
        <v>0</v>
      </c>
      <c r="H135" s="15">
        <f t="shared" si="34"/>
        <v>0</v>
      </c>
      <c r="I135" s="15"/>
      <c r="J135" s="16">
        <f t="shared" si="35"/>
        <v>0</v>
      </c>
      <c r="K135" s="16">
        <f t="shared" si="36"/>
        <v>0</v>
      </c>
      <c r="L135">
        <f t="shared" si="37"/>
        <v>0</v>
      </c>
      <c r="M135">
        <f t="shared" si="38"/>
        <v>0</v>
      </c>
      <c r="N135" s="16">
        <f t="shared" si="39"/>
        <v>0</v>
      </c>
      <c r="O135" s="16"/>
      <c r="P135" s="17">
        <f t="shared" si="40"/>
        <v>0</v>
      </c>
      <c r="Q135">
        <f>Q134/(1+Assumptions!$E$8/12)</f>
        <v>0.685032606198129</v>
      </c>
      <c r="S135" s="17">
        <f t="shared" si="41"/>
        <v>0</v>
      </c>
      <c r="T135" s="17">
        <f>T134*(1+$K$24)*Z135</f>
        <v>0</v>
      </c>
      <c r="U135" s="17">
        <f t="shared" si="42"/>
        <v>0</v>
      </c>
      <c r="V135" s="17">
        <f t="shared" si="43"/>
        <v>0</v>
      </c>
      <c r="W135" s="17">
        <f t="shared" si="44"/>
        <v>0</v>
      </c>
      <c r="Y135">
        <f>(MONTH(E135)=MONTH(Assumptions!$E$6))*(YEAR(Assumptions!$E$6)=YEAR('Rent v Mortgage'!E135))</f>
        <v>0</v>
      </c>
      <c r="Z135">
        <f>--(SUM($Y$28:Y134)&lt;1)*AA135</f>
        <v>0</v>
      </c>
      <c r="AA135">
        <f t="shared" si="45"/>
        <v>1</v>
      </c>
      <c r="AB135" s="20"/>
      <c r="AC135">
        <f t="shared" si="46"/>
        <v>107</v>
      </c>
      <c r="AD135">
        <f t="shared" si="47"/>
        <v>2034</v>
      </c>
      <c r="AE135" s="12">
        <f t="shared" si="48"/>
        <v>49096</v>
      </c>
      <c r="AG135" s="19">
        <f t="shared" si="49"/>
        <v>0</v>
      </c>
      <c r="AH135" s="19">
        <f t="shared" si="50"/>
        <v>0</v>
      </c>
      <c r="AI135" s="19">
        <f t="shared" si="51"/>
        <v>0</v>
      </c>
      <c r="AK135" s="19">
        <f t="shared" si="52"/>
        <v>0</v>
      </c>
      <c r="AL135" s="19">
        <f ca="1">(IF(MOD(AC135,($AE$15*12)),0,$AG135-IFERROR(SUM(OFFSET(AL134,,,-$AE$15*12)),0))-SUM($AL$28:AL134)*(Z136=0))*(Z135=1)</f>
        <v>0</v>
      </c>
      <c r="AM135" s="19">
        <f t="shared" si="53"/>
        <v>0</v>
      </c>
      <c r="AN135" s="19">
        <f t="shared" si="54"/>
        <v>0</v>
      </c>
      <c r="AP135" s="19">
        <f t="shared" ca="1" si="28"/>
        <v>0</v>
      </c>
      <c r="AQ135" s="18">
        <f t="shared" si="29"/>
        <v>0.685032606198129</v>
      </c>
    </row>
    <row r="136" spans="3:43" x14ac:dyDescent="0.25">
      <c r="C136">
        <f t="shared" si="30"/>
        <v>108</v>
      </c>
      <c r="D136">
        <f t="shared" si="31"/>
        <v>9</v>
      </c>
      <c r="E136" s="12">
        <f t="shared" si="32"/>
        <v>49126</v>
      </c>
      <c r="F136" s="12"/>
      <c r="G136" s="15">
        <f t="shared" si="33"/>
        <v>0</v>
      </c>
      <c r="H136" s="15">
        <f t="shared" si="34"/>
        <v>0</v>
      </c>
      <c r="I136" s="15"/>
      <c r="J136" s="16">
        <f t="shared" si="35"/>
        <v>0</v>
      </c>
      <c r="K136" s="16">
        <f t="shared" si="36"/>
        <v>0</v>
      </c>
      <c r="L136">
        <f t="shared" si="37"/>
        <v>0</v>
      </c>
      <c r="M136">
        <f t="shared" si="38"/>
        <v>0</v>
      </c>
      <c r="N136" s="16">
        <f t="shared" si="39"/>
        <v>0</v>
      </c>
      <c r="O136" s="16"/>
      <c r="P136" s="17">
        <f t="shared" si="40"/>
        <v>0</v>
      </c>
      <c r="Q136">
        <f>Q135/(1+Assumptions!$E$8/12)</f>
        <v>0.68261501136620695</v>
      </c>
      <c r="S136" s="17">
        <f t="shared" si="41"/>
        <v>0</v>
      </c>
      <c r="T136" s="17">
        <f>T135*(1+$K$24)*Z136</f>
        <v>0</v>
      </c>
      <c r="U136" s="17">
        <f t="shared" si="42"/>
        <v>0</v>
      </c>
      <c r="V136" s="17">
        <f t="shared" si="43"/>
        <v>0</v>
      </c>
      <c r="W136" s="17">
        <f t="shared" si="44"/>
        <v>0</v>
      </c>
      <c r="Y136">
        <f>(MONTH(E136)=MONTH(Assumptions!$E$6))*(YEAR(Assumptions!$E$6)=YEAR('Rent v Mortgage'!E136))</f>
        <v>0</v>
      </c>
      <c r="Z136">
        <f>--(SUM($Y$28:Y135)&lt;1)*AA136</f>
        <v>0</v>
      </c>
      <c r="AA136">
        <f t="shared" si="45"/>
        <v>1</v>
      </c>
      <c r="AB136" s="20"/>
      <c r="AC136">
        <f t="shared" si="46"/>
        <v>108</v>
      </c>
      <c r="AD136">
        <f t="shared" si="47"/>
        <v>2034</v>
      </c>
      <c r="AE136" s="12">
        <f t="shared" si="48"/>
        <v>49126</v>
      </c>
      <c r="AG136" s="19">
        <f t="shared" si="49"/>
        <v>0</v>
      </c>
      <c r="AH136" s="19">
        <f t="shared" si="50"/>
        <v>0</v>
      </c>
      <c r="AI136" s="19">
        <f t="shared" si="51"/>
        <v>0</v>
      </c>
      <c r="AK136" s="19">
        <f t="shared" si="52"/>
        <v>0</v>
      </c>
      <c r="AL136" s="19">
        <f ca="1">(IF(MOD(AC136,($AE$15*12)),0,$AG136-IFERROR(SUM(OFFSET(AL135,,,-$AE$15*12)),0))-SUM($AL$28:AL135)*(Z137=0))*(Z136=1)</f>
        <v>0</v>
      </c>
      <c r="AM136" s="19">
        <f t="shared" si="53"/>
        <v>0</v>
      </c>
      <c r="AN136" s="19">
        <f t="shared" si="54"/>
        <v>0</v>
      </c>
      <c r="AP136" s="19">
        <f t="shared" ca="1" si="28"/>
        <v>0</v>
      </c>
      <c r="AQ136" s="18">
        <f t="shared" si="29"/>
        <v>0.68261501136620695</v>
      </c>
    </row>
    <row r="137" spans="3:43" x14ac:dyDescent="0.25">
      <c r="C137">
        <f t="shared" si="30"/>
        <v>109</v>
      </c>
      <c r="D137">
        <f t="shared" si="31"/>
        <v>9</v>
      </c>
      <c r="E137" s="12">
        <f t="shared" si="32"/>
        <v>49157</v>
      </c>
      <c r="F137" s="12"/>
      <c r="G137" s="15">
        <f t="shared" si="33"/>
        <v>0</v>
      </c>
      <c r="H137" s="15">
        <f t="shared" si="34"/>
        <v>0</v>
      </c>
      <c r="I137" s="15"/>
      <c r="J137" s="16">
        <f t="shared" si="35"/>
        <v>0</v>
      </c>
      <c r="K137" s="16">
        <f t="shared" si="36"/>
        <v>0</v>
      </c>
      <c r="L137">
        <f t="shared" si="37"/>
        <v>0</v>
      </c>
      <c r="M137">
        <f t="shared" si="38"/>
        <v>0</v>
      </c>
      <c r="N137" s="16">
        <f t="shared" si="39"/>
        <v>0</v>
      </c>
      <c r="O137" s="16"/>
      <c r="P137" s="17">
        <f t="shared" si="40"/>
        <v>0</v>
      </c>
      <c r="Q137">
        <f>Q136/(1+Assumptions!$E$8/12)</f>
        <v>0.68020594863147044</v>
      </c>
      <c r="S137" s="17">
        <f t="shared" si="41"/>
        <v>0</v>
      </c>
      <c r="T137" s="17">
        <f>T136*(1+$K$24)*Z137</f>
        <v>0</v>
      </c>
      <c r="U137" s="17">
        <f t="shared" si="42"/>
        <v>0</v>
      </c>
      <c r="V137" s="17">
        <f t="shared" si="43"/>
        <v>0</v>
      </c>
      <c r="W137" s="17">
        <f t="shared" si="44"/>
        <v>0</v>
      </c>
      <c r="Y137">
        <f>(MONTH(E137)=MONTH(Assumptions!$E$6))*(YEAR(Assumptions!$E$6)=YEAR('Rent v Mortgage'!E137))</f>
        <v>0</v>
      </c>
      <c r="Z137">
        <f>--(SUM($Y$28:Y136)&lt;1)*AA137</f>
        <v>0</v>
      </c>
      <c r="AA137">
        <f t="shared" si="45"/>
        <v>1</v>
      </c>
      <c r="AB137" s="20"/>
      <c r="AC137">
        <f t="shared" si="46"/>
        <v>109</v>
      </c>
      <c r="AD137">
        <f t="shared" si="47"/>
        <v>2034</v>
      </c>
      <c r="AE137" s="12">
        <f t="shared" si="48"/>
        <v>49157</v>
      </c>
      <c r="AG137" s="19">
        <f t="shared" si="49"/>
        <v>0</v>
      </c>
      <c r="AH137" s="19">
        <f t="shared" si="50"/>
        <v>0</v>
      </c>
      <c r="AI137" s="19">
        <f t="shared" si="51"/>
        <v>0</v>
      </c>
      <c r="AK137" s="19">
        <f t="shared" si="52"/>
        <v>0</v>
      </c>
      <c r="AL137" s="19">
        <f ca="1">(IF(MOD(AC137,($AE$15*12)),0,$AG137-IFERROR(SUM(OFFSET(AL136,,,-$AE$15*12)),0))-SUM($AL$28:AL136)*(Z138=0))*(Z137=1)</f>
        <v>0</v>
      </c>
      <c r="AM137" s="19">
        <f t="shared" si="53"/>
        <v>0</v>
      </c>
      <c r="AN137" s="19">
        <f t="shared" si="54"/>
        <v>0</v>
      </c>
      <c r="AP137" s="19">
        <f t="shared" ca="1" si="28"/>
        <v>0</v>
      </c>
      <c r="AQ137" s="18">
        <f t="shared" si="29"/>
        <v>0.68020594863147044</v>
      </c>
    </row>
    <row r="138" spans="3:43" x14ac:dyDescent="0.25">
      <c r="C138">
        <f t="shared" si="30"/>
        <v>110</v>
      </c>
      <c r="D138">
        <f t="shared" si="31"/>
        <v>9</v>
      </c>
      <c r="E138" s="12">
        <f t="shared" si="32"/>
        <v>49188</v>
      </c>
      <c r="F138" s="12"/>
      <c r="G138" s="15">
        <f t="shared" si="33"/>
        <v>0</v>
      </c>
      <c r="H138" s="15">
        <f t="shared" si="34"/>
        <v>0</v>
      </c>
      <c r="I138" s="15"/>
      <c r="J138" s="16">
        <f t="shared" si="35"/>
        <v>0</v>
      </c>
      <c r="K138" s="16">
        <f t="shared" si="36"/>
        <v>0</v>
      </c>
      <c r="L138">
        <f t="shared" si="37"/>
        <v>0</v>
      </c>
      <c r="M138">
        <f t="shared" si="38"/>
        <v>0</v>
      </c>
      <c r="N138" s="16">
        <f t="shared" si="39"/>
        <v>0</v>
      </c>
      <c r="O138" s="16"/>
      <c r="P138" s="17">
        <f t="shared" si="40"/>
        <v>0</v>
      </c>
      <c r="Q138">
        <f>Q137/(1+Assumptions!$E$8/12)</f>
        <v>0.67780538788271905</v>
      </c>
      <c r="S138" s="17">
        <f t="shared" si="41"/>
        <v>0</v>
      </c>
      <c r="T138" s="17">
        <f>T137*(1+$K$24)*Z138</f>
        <v>0</v>
      </c>
      <c r="U138" s="17">
        <f t="shared" si="42"/>
        <v>0</v>
      </c>
      <c r="V138" s="17">
        <f t="shared" si="43"/>
        <v>0</v>
      </c>
      <c r="W138" s="17">
        <f t="shared" si="44"/>
        <v>0</v>
      </c>
      <c r="Y138">
        <f>(MONTH(E138)=MONTH(Assumptions!$E$6))*(YEAR(Assumptions!$E$6)=YEAR('Rent v Mortgage'!E138))</f>
        <v>0</v>
      </c>
      <c r="Z138">
        <f>--(SUM($Y$28:Y137)&lt;1)*AA138</f>
        <v>0</v>
      </c>
      <c r="AA138">
        <f t="shared" si="45"/>
        <v>1</v>
      </c>
      <c r="AB138" s="20"/>
      <c r="AC138">
        <f t="shared" si="46"/>
        <v>110</v>
      </c>
      <c r="AD138">
        <f t="shared" si="47"/>
        <v>2034</v>
      </c>
      <c r="AE138" s="12">
        <f t="shared" si="48"/>
        <v>49188</v>
      </c>
      <c r="AG138" s="19">
        <f t="shared" si="49"/>
        <v>0</v>
      </c>
      <c r="AH138" s="19">
        <f t="shared" si="50"/>
        <v>0</v>
      </c>
      <c r="AI138" s="19">
        <f t="shared" si="51"/>
        <v>0</v>
      </c>
      <c r="AK138" s="19">
        <f t="shared" si="52"/>
        <v>0</v>
      </c>
      <c r="AL138" s="19">
        <f ca="1">(IF(MOD(AC138,($AE$15*12)),0,$AG138-IFERROR(SUM(OFFSET(AL137,,,-$AE$15*12)),0))-SUM($AL$28:AL137)*(Z139=0))*(Z138=1)</f>
        <v>0</v>
      </c>
      <c r="AM138" s="19">
        <f t="shared" si="53"/>
        <v>0</v>
      </c>
      <c r="AN138" s="19">
        <f t="shared" si="54"/>
        <v>0</v>
      </c>
      <c r="AP138" s="19">
        <f t="shared" ca="1" si="28"/>
        <v>0</v>
      </c>
      <c r="AQ138" s="18">
        <f t="shared" si="29"/>
        <v>0.67780538788271905</v>
      </c>
    </row>
    <row r="139" spans="3:43" x14ac:dyDescent="0.25">
      <c r="C139">
        <f t="shared" si="30"/>
        <v>111</v>
      </c>
      <c r="D139">
        <f t="shared" si="31"/>
        <v>9</v>
      </c>
      <c r="E139" s="12">
        <f t="shared" si="32"/>
        <v>49218</v>
      </c>
      <c r="F139" s="12"/>
      <c r="G139" s="15">
        <f t="shared" si="33"/>
        <v>0</v>
      </c>
      <c r="H139" s="15">
        <f t="shared" si="34"/>
        <v>0</v>
      </c>
      <c r="I139" s="15"/>
      <c r="J139" s="16">
        <f t="shared" si="35"/>
        <v>0</v>
      </c>
      <c r="K139" s="16">
        <f t="shared" si="36"/>
        <v>0</v>
      </c>
      <c r="L139">
        <f t="shared" si="37"/>
        <v>0</v>
      </c>
      <c r="M139">
        <f t="shared" si="38"/>
        <v>0</v>
      </c>
      <c r="N139" s="16">
        <f t="shared" si="39"/>
        <v>0</v>
      </c>
      <c r="O139" s="16"/>
      <c r="P139" s="17">
        <f t="shared" si="40"/>
        <v>0</v>
      </c>
      <c r="Q139">
        <f>Q138/(1+Assumptions!$E$8/12)</f>
        <v>0.67541329911501991</v>
      </c>
      <c r="S139" s="17">
        <f t="shared" si="41"/>
        <v>0</v>
      </c>
      <c r="T139" s="17">
        <f>T138*(1+$K$24)*Z139</f>
        <v>0</v>
      </c>
      <c r="U139" s="17">
        <f t="shared" si="42"/>
        <v>0</v>
      </c>
      <c r="V139" s="17">
        <f t="shared" si="43"/>
        <v>0</v>
      </c>
      <c r="W139" s="17">
        <f t="shared" si="44"/>
        <v>0</v>
      </c>
      <c r="Y139">
        <f>(MONTH(E139)=MONTH(Assumptions!$E$6))*(YEAR(Assumptions!$E$6)=YEAR('Rent v Mortgage'!E139))</f>
        <v>0</v>
      </c>
      <c r="Z139">
        <f>--(SUM($Y$28:Y138)&lt;1)*AA139</f>
        <v>0</v>
      </c>
      <c r="AA139">
        <f t="shared" si="45"/>
        <v>1</v>
      </c>
      <c r="AB139" s="20"/>
      <c r="AC139">
        <f t="shared" si="46"/>
        <v>111</v>
      </c>
      <c r="AD139">
        <f t="shared" si="47"/>
        <v>2034</v>
      </c>
      <c r="AE139" s="12">
        <f t="shared" si="48"/>
        <v>49218</v>
      </c>
      <c r="AG139" s="19">
        <f t="shared" si="49"/>
        <v>0</v>
      </c>
      <c r="AH139" s="19">
        <f t="shared" si="50"/>
        <v>0</v>
      </c>
      <c r="AI139" s="19">
        <f t="shared" si="51"/>
        <v>0</v>
      </c>
      <c r="AK139" s="19">
        <f t="shared" si="52"/>
        <v>0</v>
      </c>
      <c r="AL139" s="19">
        <f ca="1">(IF(MOD(AC139,($AE$15*12)),0,$AG139-IFERROR(SUM(OFFSET(AL138,,,-$AE$15*12)),0))-SUM($AL$28:AL138)*(Z140=0))*(Z139=1)</f>
        <v>0</v>
      </c>
      <c r="AM139" s="19">
        <f t="shared" si="53"/>
        <v>0</v>
      </c>
      <c r="AN139" s="19">
        <f t="shared" si="54"/>
        <v>0</v>
      </c>
      <c r="AP139" s="19">
        <f t="shared" ca="1" si="28"/>
        <v>0</v>
      </c>
      <c r="AQ139" s="18">
        <f t="shared" si="29"/>
        <v>0.67541329911501991</v>
      </c>
    </row>
    <row r="140" spans="3:43" x14ac:dyDescent="0.25">
      <c r="C140">
        <f t="shared" si="30"/>
        <v>112</v>
      </c>
      <c r="D140">
        <f t="shared" si="31"/>
        <v>9</v>
      </c>
      <c r="E140" s="12">
        <f t="shared" si="32"/>
        <v>49249</v>
      </c>
      <c r="F140" s="12"/>
      <c r="G140" s="15">
        <f t="shared" si="33"/>
        <v>0</v>
      </c>
      <c r="H140" s="15">
        <f t="shared" si="34"/>
        <v>0</v>
      </c>
      <c r="I140" s="15"/>
      <c r="J140" s="16">
        <f t="shared" si="35"/>
        <v>0</v>
      </c>
      <c r="K140" s="16">
        <f t="shared" si="36"/>
        <v>0</v>
      </c>
      <c r="L140">
        <f t="shared" si="37"/>
        <v>0</v>
      </c>
      <c r="M140">
        <f t="shared" si="38"/>
        <v>0</v>
      </c>
      <c r="N140" s="16">
        <f t="shared" si="39"/>
        <v>0</v>
      </c>
      <c r="O140" s="16"/>
      <c r="P140" s="17">
        <f t="shared" si="40"/>
        <v>0</v>
      </c>
      <c r="Q140">
        <f>Q139/(1+Assumptions!$E$8/12)</f>
        <v>0.67302965242933266</v>
      </c>
      <c r="S140" s="17">
        <f t="shared" si="41"/>
        <v>0</v>
      </c>
      <c r="T140" s="17">
        <f>T139*(1+$K$24)*Z140</f>
        <v>0</v>
      </c>
      <c r="U140" s="17">
        <f t="shared" si="42"/>
        <v>0</v>
      </c>
      <c r="V140" s="17">
        <f t="shared" si="43"/>
        <v>0</v>
      </c>
      <c r="W140" s="17">
        <f t="shared" si="44"/>
        <v>0</v>
      </c>
      <c r="Y140">
        <f>(MONTH(E140)=MONTH(Assumptions!$E$6))*(YEAR(Assumptions!$E$6)=YEAR('Rent v Mortgage'!E140))</f>
        <v>0</v>
      </c>
      <c r="Z140">
        <f>--(SUM($Y$28:Y139)&lt;1)*AA140</f>
        <v>0</v>
      </c>
      <c r="AA140">
        <f t="shared" si="45"/>
        <v>1</v>
      </c>
      <c r="AB140" s="20"/>
      <c r="AC140">
        <f t="shared" si="46"/>
        <v>112</v>
      </c>
      <c r="AD140">
        <f t="shared" si="47"/>
        <v>2034</v>
      </c>
      <c r="AE140" s="12">
        <f t="shared" si="48"/>
        <v>49249</v>
      </c>
      <c r="AG140" s="19">
        <f t="shared" si="49"/>
        <v>0</v>
      </c>
      <c r="AH140" s="19">
        <f t="shared" si="50"/>
        <v>0</v>
      </c>
      <c r="AI140" s="19">
        <f t="shared" si="51"/>
        <v>0</v>
      </c>
      <c r="AK140" s="19">
        <f t="shared" si="52"/>
        <v>0</v>
      </c>
      <c r="AL140" s="19">
        <f ca="1">(IF(MOD(AC140,($AE$15*12)),0,$AG140-IFERROR(SUM(OFFSET(AL139,,,-$AE$15*12)),0))-SUM($AL$28:AL139)*(Z141=0))*(Z140=1)</f>
        <v>0</v>
      </c>
      <c r="AM140" s="19">
        <f t="shared" si="53"/>
        <v>0</v>
      </c>
      <c r="AN140" s="19">
        <f t="shared" si="54"/>
        <v>0</v>
      </c>
      <c r="AP140" s="19">
        <f t="shared" ca="1" si="28"/>
        <v>0</v>
      </c>
      <c r="AQ140" s="18">
        <f t="shared" si="29"/>
        <v>0.67302965242933266</v>
      </c>
    </row>
    <row r="141" spans="3:43" x14ac:dyDescent="0.25">
      <c r="C141">
        <f t="shared" si="30"/>
        <v>113</v>
      </c>
      <c r="D141">
        <f t="shared" si="31"/>
        <v>9</v>
      </c>
      <c r="E141" s="12">
        <f t="shared" si="32"/>
        <v>49279</v>
      </c>
      <c r="F141" s="12"/>
      <c r="G141" s="15">
        <f t="shared" si="33"/>
        <v>0</v>
      </c>
      <c r="H141" s="15">
        <f t="shared" si="34"/>
        <v>0</v>
      </c>
      <c r="I141" s="15"/>
      <c r="J141" s="16">
        <f t="shared" si="35"/>
        <v>0</v>
      </c>
      <c r="K141" s="16">
        <f t="shared" si="36"/>
        <v>0</v>
      </c>
      <c r="L141">
        <f t="shared" si="37"/>
        <v>0</v>
      </c>
      <c r="M141">
        <f t="shared" si="38"/>
        <v>0</v>
      </c>
      <c r="N141" s="16">
        <f t="shared" si="39"/>
        <v>0</v>
      </c>
      <c r="O141" s="16"/>
      <c r="P141" s="17">
        <f t="shared" si="40"/>
        <v>0</v>
      </c>
      <c r="Q141">
        <f>Q140/(1+Assumptions!$E$8/12)</f>
        <v>0.67065441803213544</v>
      </c>
      <c r="S141" s="17">
        <f t="shared" si="41"/>
        <v>0</v>
      </c>
      <c r="T141" s="17">
        <f>T140*(1+$K$24)*Z141</f>
        <v>0</v>
      </c>
      <c r="U141" s="17">
        <f t="shared" si="42"/>
        <v>0</v>
      </c>
      <c r="V141" s="17">
        <f t="shared" si="43"/>
        <v>0</v>
      </c>
      <c r="W141" s="17">
        <f t="shared" si="44"/>
        <v>0</v>
      </c>
      <c r="Y141">
        <f>(MONTH(E141)=MONTH(Assumptions!$E$6))*(YEAR(Assumptions!$E$6)=YEAR('Rent v Mortgage'!E141))</f>
        <v>0</v>
      </c>
      <c r="Z141">
        <f>--(SUM($Y$28:Y140)&lt;1)*AA141</f>
        <v>0</v>
      </c>
      <c r="AA141">
        <f t="shared" si="45"/>
        <v>1</v>
      </c>
      <c r="AB141" s="20"/>
      <c r="AC141">
        <f t="shared" si="46"/>
        <v>113</v>
      </c>
      <c r="AD141">
        <f t="shared" si="47"/>
        <v>2034</v>
      </c>
      <c r="AE141" s="12">
        <f t="shared" si="48"/>
        <v>49279</v>
      </c>
      <c r="AG141" s="19">
        <f t="shared" si="49"/>
        <v>0</v>
      </c>
      <c r="AH141" s="19">
        <f t="shared" si="50"/>
        <v>0</v>
      </c>
      <c r="AI141" s="19">
        <f t="shared" si="51"/>
        <v>0</v>
      </c>
      <c r="AK141" s="19">
        <f t="shared" si="52"/>
        <v>0</v>
      </c>
      <c r="AL141" s="19">
        <f ca="1">(IF(MOD(AC141,($AE$15*12)),0,$AG141-IFERROR(SUM(OFFSET(AL140,,,-$AE$15*12)),0))-SUM($AL$28:AL140)*(Z142=0))*(Z141=1)</f>
        <v>0</v>
      </c>
      <c r="AM141" s="19">
        <f t="shared" si="53"/>
        <v>0</v>
      </c>
      <c r="AN141" s="19">
        <f t="shared" si="54"/>
        <v>0</v>
      </c>
      <c r="AP141" s="19">
        <f t="shared" ca="1" si="28"/>
        <v>0</v>
      </c>
      <c r="AQ141" s="18">
        <f t="shared" si="29"/>
        <v>0.67065441803213544</v>
      </c>
    </row>
    <row r="142" spans="3:43" x14ac:dyDescent="0.25">
      <c r="C142">
        <f t="shared" si="30"/>
        <v>114</v>
      </c>
      <c r="D142">
        <f t="shared" si="31"/>
        <v>9</v>
      </c>
      <c r="E142" s="12">
        <f t="shared" si="32"/>
        <v>49310</v>
      </c>
      <c r="F142" s="12"/>
      <c r="G142" s="15">
        <f t="shared" si="33"/>
        <v>0</v>
      </c>
      <c r="H142" s="15">
        <f t="shared" si="34"/>
        <v>0</v>
      </c>
      <c r="I142" s="15"/>
      <c r="J142" s="16">
        <f t="shared" si="35"/>
        <v>0</v>
      </c>
      <c r="K142" s="16">
        <f t="shared" si="36"/>
        <v>0</v>
      </c>
      <c r="L142">
        <f t="shared" si="37"/>
        <v>0</v>
      </c>
      <c r="M142">
        <f t="shared" si="38"/>
        <v>0</v>
      </c>
      <c r="N142" s="16">
        <f t="shared" si="39"/>
        <v>0</v>
      </c>
      <c r="O142" s="16"/>
      <c r="P142" s="17">
        <f t="shared" si="40"/>
        <v>0</v>
      </c>
      <c r="Q142">
        <f>Q141/(1+Assumptions!$E$8/12)</f>
        <v>0.66828756623505292</v>
      </c>
      <c r="S142" s="17">
        <f t="shared" si="41"/>
        <v>0</v>
      </c>
      <c r="T142" s="17">
        <f>T141*(1+$K$24)*Z142</f>
        <v>0</v>
      </c>
      <c r="U142" s="17">
        <f t="shared" si="42"/>
        <v>0</v>
      </c>
      <c r="V142" s="17">
        <f t="shared" si="43"/>
        <v>0</v>
      </c>
      <c r="W142" s="17">
        <f t="shared" si="44"/>
        <v>0</v>
      </c>
      <c r="Y142">
        <f>(MONTH(E142)=MONTH(Assumptions!$E$6))*(YEAR(Assumptions!$E$6)=YEAR('Rent v Mortgage'!E142))</f>
        <v>0</v>
      </c>
      <c r="Z142">
        <f>--(SUM($Y$28:Y141)&lt;1)*AA142</f>
        <v>0</v>
      </c>
      <c r="AA142">
        <f t="shared" si="45"/>
        <v>1</v>
      </c>
      <c r="AB142" s="20"/>
      <c r="AC142">
        <f t="shared" si="46"/>
        <v>114</v>
      </c>
      <c r="AD142">
        <f t="shared" si="47"/>
        <v>2035</v>
      </c>
      <c r="AE142" s="12">
        <f t="shared" si="48"/>
        <v>49310</v>
      </c>
      <c r="AG142" s="19">
        <f t="shared" si="49"/>
        <v>0</v>
      </c>
      <c r="AH142" s="19">
        <f t="shared" si="50"/>
        <v>0</v>
      </c>
      <c r="AI142" s="19">
        <f t="shared" si="51"/>
        <v>0</v>
      </c>
      <c r="AK142" s="19">
        <f t="shared" si="52"/>
        <v>0</v>
      </c>
      <c r="AL142" s="19">
        <f ca="1">(IF(MOD(AC142,($AE$15*12)),0,$AG142-IFERROR(SUM(OFFSET(AL141,,,-$AE$15*12)),0))-SUM($AL$28:AL141)*(Z143=0))*(Z142=1)</f>
        <v>0</v>
      </c>
      <c r="AM142" s="19">
        <f t="shared" si="53"/>
        <v>0</v>
      </c>
      <c r="AN142" s="19">
        <f t="shared" si="54"/>
        <v>0</v>
      </c>
      <c r="AP142" s="19">
        <f t="shared" ca="1" si="28"/>
        <v>0</v>
      </c>
      <c r="AQ142" s="18">
        <f t="shared" si="29"/>
        <v>0.66828756623505292</v>
      </c>
    </row>
    <row r="143" spans="3:43" x14ac:dyDescent="0.25">
      <c r="C143">
        <f t="shared" si="30"/>
        <v>115</v>
      </c>
      <c r="D143">
        <f t="shared" si="31"/>
        <v>9</v>
      </c>
      <c r="E143" s="12">
        <f t="shared" si="32"/>
        <v>49341</v>
      </c>
      <c r="F143" s="12"/>
      <c r="G143" s="15">
        <f t="shared" si="33"/>
        <v>0</v>
      </c>
      <c r="H143" s="15">
        <f t="shared" si="34"/>
        <v>0</v>
      </c>
      <c r="I143" s="15"/>
      <c r="J143" s="16">
        <f t="shared" si="35"/>
        <v>0</v>
      </c>
      <c r="K143" s="16">
        <f t="shared" si="36"/>
        <v>0</v>
      </c>
      <c r="L143">
        <f t="shared" si="37"/>
        <v>0</v>
      </c>
      <c r="M143">
        <f t="shared" si="38"/>
        <v>0</v>
      </c>
      <c r="N143" s="16">
        <f t="shared" si="39"/>
        <v>0</v>
      </c>
      <c r="O143" s="16"/>
      <c r="P143" s="17">
        <f t="shared" si="40"/>
        <v>0</v>
      </c>
      <c r="Q143">
        <f>Q142/(1+Assumptions!$E$8/12)</f>
        <v>0.66592906745448488</v>
      </c>
      <c r="S143" s="17">
        <f t="shared" si="41"/>
        <v>0</v>
      </c>
      <c r="T143" s="17">
        <f>T142*(1+$K$24)*Z143</f>
        <v>0</v>
      </c>
      <c r="U143" s="17">
        <f t="shared" si="42"/>
        <v>0</v>
      </c>
      <c r="V143" s="17">
        <f t="shared" si="43"/>
        <v>0</v>
      </c>
      <c r="W143" s="17">
        <f t="shared" si="44"/>
        <v>0</v>
      </c>
      <c r="Y143">
        <f>(MONTH(E143)=MONTH(Assumptions!$E$6))*(YEAR(Assumptions!$E$6)=YEAR('Rent v Mortgage'!E143))</f>
        <v>0</v>
      </c>
      <c r="Z143">
        <f>--(SUM($Y$28:Y142)&lt;1)*AA143</f>
        <v>0</v>
      </c>
      <c r="AA143">
        <f t="shared" si="45"/>
        <v>1</v>
      </c>
      <c r="AB143" s="20"/>
      <c r="AC143">
        <f t="shared" si="46"/>
        <v>115</v>
      </c>
      <c r="AD143">
        <f t="shared" si="47"/>
        <v>2035</v>
      </c>
      <c r="AE143" s="12">
        <f t="shared" si="48"/>
        <v>49341</v>
      </c>
      <c r="AG143" s="19">
        <f t="shared" si="49"/>
        <v>0</v>
      </c>
      <c r="AH143" s="19">
        <f t="shared" si="50"/>
        <v>0</v>
      </c>
      <c r="AI143" s="19">
        <f t="shared" si="51"/>
        <v>0</v>
      </c>
      <c r="AK143" s="19">
        <f t="shared" si="52"/>
        <v>0</v>
      </c>
      <c r="AL143" s="19">
        <f ca="1">(IF(MOD(AC143,($AE$15*12)),0,$AG143-IFERROR(SUM(OFFSET(AL142,,,-$AE$15*12)),0))-SUM($AL$28:AL142)*(Z144=0))*(Z143=1)</f>
        <v>0</v>
      </c>
      <c r="AM143" s="19">
        <f t="shared" si="53"/>
        <v>0</v>
      </c>
      <c r="AN143" s="19">
        <f t="shared" si="54"/>
        <v>0</v>
      </c>
      <c r="AP143" s="19">
        <f t="shared" ca="1" si="28"/>
        <v>0</v>
      </c>
      <c r="AQ143" s="18">
        <f t="shared" si="29"/>
        <v>0.66592906745448488</v>
      </c>
    </row>
    <row r="144" spans="3:43" x14ac:dyDescent="0.25">
      <c r="C144">
        <f t="shared" si="30"/>
        <v>116</v>
      </c>
      <c r="D144">
        <f t="shared" si="31"/>
        <v>9</v>
      </c>
      <c r="E144" s="12">
        <f t="shared" si="32"/>
        <v>49369</v>
      </c>
      <c r="F144" s="12"/>
      <c r="G144" s="15">
        <f t="shared" si="33"/>
        <v>0</v>
      </c>
      <c r="H144" s="15">
        <f t="shared" si="34"/>
        <v>0</v>
      </c>
      <c r="I144" s="15"/>
      <c r="J144" s="16">
        <f t="shared" si="35"/>
        <v>0</v>
      </c>
      <c r="K144" s="16">
        <f t="shared" si="36"/>
        <v>0</v>
      </c>
      <c r="L144">
        <f t="shared" si="37"/>
        <v>0</v>
      </c>
      <c r="M144">
        <f t="shared" si="38"/>
        <v>0</v>
      </c>
      <c r="N144" s="16">
        <f t="shared" si="39"/>
        <v>0</v>
      </c>
      <c r="O144" s="16"/>
      <c r="P144" s="17">
        <f t="shared" si="40"/>
        <v>0</v>
      </c>
      <c r="Q144">
        <f>Q143/(1+Assumptions!$E$8/12)</f>
        <v>0.66357889221123667</v>
      </c>
      <c r="S144" s="17">
        <f t="shared" si="41"/>
        <v>0</v>
      </c>
      <c r="T144" s="17">
        <f>T143*(1+$K$24)*Z144</f>
        <v>0</v>
      </c>
      <c r="U144" s="17">
        <f t="shared" si="42"/>
        <v>0</v>
      </c>
      <c r="V144" s="17">
        <f t="shared" si="43"/>
        <v>0</v>
      </c>
      <c r="W144" s="17">
        <f t="shared" si="44"/>
        <v>0</v>
      </c>
      <c r="Y144">
        <f>(MONTH(E144)=MONTH(Assumptions!$E$6))*(YEAR(Assumptions!$E$6)=YEAR('Rent v Mortgage'!E144))</f>
        <v>0</v>
      </c>
      <c r="Z144">
        <f>--(SUM($Y$28:Y143)&lt;1)*AA144</f>
        <v>0</v>
      </c>
      <c r="AA144">
        <f t="shared" si="45"/>
        <v>1</v>
      </c>
      <c r="AB144" s="20"/>
      <c r="AC144">
        <f t="shared" si="46"/>
        <v>116</v>
      </c>
      <c r="AD144">
        <f t="shared" si="47"/>
        <v>2035</v>
      </c>
      <c r="AE144" s="12">
        <f t="shared" si="48"/>
        <v>49369</v>
      </c>
      <c r="AG144" s="19">
        <f t="shared" si="49"/>
        <v>0</v>
      </c>
      <c r="AH144" s="19">
        <f t="shared" si="50"/>
        <v>0</v>
      </c>
      <c r="AI144" s="19">
        <f t="shared" si="51"/>
        <v>0</v>
      </c>
      <c r="AK144" s="19">
        <f t="shared" si="52"/>
        <v>0</v>
      </c>
      <c r="AL144" s="19">
        <f ca="1">(IF(MOD(AC144,($AE$15*12)),0,$AG144-IFERROR(SUM(OFFSET(AL143,,,-$AE$15*12)),0))-SUM($AL$28:AL143)*(Z145=0))*(Z144=1)</f>
        <v>0</v>
      </c>
      <c r="AM144" s="19">
        <f t="shared" si="53"/>
        <v>0</v>
      </c>
      <c r="AN144" s="19">
        <f t="shared" si="54"/>
        <v>0</v>
      </c>
      <c r="AP144" s="19">
        <f t="shared" ca="1" si="28"/>
        <v>0</v>
      </c>
      <c r="AQ144" s="18">
        <f t="shared" si="29"/>
        <v>0.66357889221123667</v>
      </c>
    </row>
    <row r="145" spans="3:43" x14ac:dyDescent="0.25">
      <c r="C145">
        <f t="shared" si="30"/>
        <v>117</v>
      </c>
      <c r="D145">
        <f t="shared" si="31"/>
        <v>9</v>
      </c>
      <c r="E145" s="12">
        <f t="shared" si="32"/>
        <v>49400</v>
      </c>
      <c r="F145" s="12"/>
      <c r="G145" s="15">
        <f t="shared" si="33"/>
        <v>0</v>
      </c>
      <c r="H145" s="15">
        <f t="shared" si="34"/>
        <v>0</v>
      </c>
      <c r="I145" s="15"/>
      <c r="J145" s="16">
        <f t="shared" si="35"/>
        <v>0</v>
      </c>
      <c r="K145" s="16">
        <f t="shared" si="36"/>
        <v>0</v>
      </c>
      <c r="L145">
        <f t="shared" si="37"/>
        <v>0</v>
      </c>
      <c r="M145">
        <f t="shared" si="38"/>
        <v>0</v>
      </c>
      <c r="N145" s="16">
        <f t="shared" si="39"/>
        <v>0</v>
      </c>
      <c r="O145" s="16"/>
      <c r="P145" s="17">
        <f t="shared" si="40"/>
        <v>0</v>
      </c>
      <c r="Q145">
        <f>Q144/(1+Assumptions!$E$8/12)</f>
        <v>0.66123701113015065</v>
      </c>
      <c r="S145" s="17">
        <f t="shared" si="41"/>
        <v>0</v>
      </c>
      <c r="T145" s="17">
        <f>T144*(1+$K$24)*Z145</f>
        <v>0</v>
      </c>
      <c r="U145" s="17">
        <f t="shared" si="42"/>
        <v>0</v>
      </c>
      <c r="V145" s="17">
        <f t="shared" si="43"/>
        <v>0</v>
      </c>
      <c r="W145" s="17">
        <f t="shared" si="44"/>
        <v>0</v>
      </c>
      <c r="Y145">
        <f>(MONTH(E145)=MONTH(Assumptions!$E$6))*(YEAR(Assumptions!$E$6)=YEAR('Rent v Mortgage'!E145))</f>
        <v>0</v>
      </c>
      <c r="Z145">
        <f>--(SUM($Y$28:Y144)&lt;1)*AA145</f>
        <v>0</v>
      </c>
      <c r="AA145">
        <f t="shared" si="45"/>
        <v>1</v>
      </c>
      <c r="AB145" s="20"/>
      <c r="AC145">
        <f t="shared" si="46"/>
        <v>117</v>
      </c>
      <c r="AD145">
        <f t="shared" si="47"/>
        <v>2035</v>
      </c>
      <c r="AE145" s="12">
        <f t="shared" si="48"/>
        <v>49400</v>
      </c>
      <c r="AG145" s="19">
        <f t="shared" si="49"/>
        <v>0</v>
      </c>
      <c r="AH145" s="19">
        <f t="shared" si="50"/>
        <v>0</v>
      </c>
      <c r="AI145" s="19">
        <f t="shared" si="51"/>
        <v>0</v>
      </c>
      <c r="AK145" s="19">
        <f t="shared" si="52"/>
        <v>0</v>
      </c>
      <c r="AL145" s="19">
        <f ca="1">(IF(MOD(AC145,($AE$15*12)),0,$AG145-IFERROR(SUM(OFFSET(AL144,,,-$AE$15*12)),0))-SUM($AL$28:AL144)*(Z146=0))*(Z145=1)</f>
        <v>0</v>
      </c>
      <c r="AM145" s="19">
        <f t="shared" si="53"/>
        <v>0</v>
      </c>
      <c r="AN145" s="19">
        <f t="shared" si="54"/>
        <v>0</v>
      </c>
      <c r="AP145" s="19">
        <f t="shared" ca="1" si="28"/>
        <v>0</v>
      </c>
      <c r="AQ145" s="18">
        <f t="shared" si="29"/>
        <v>0.66123701113015065</v>
      </c>
    </row>
    <row r="146" spans="3:43" x14ac:dyDescent="0.25">
      <c r="C146">
        <f t="shared" si="30"/>
        <v>118</v>
      </c>
      <c r="D146">
        <f t="shared" si="31"/>
        <v>9</v>
      </c>
      <c r="E146" s="12">
        <f t="shared" si="32"/>
        <v>49430</v>
      </c>
      <c r="F146" s="12"/>
      <c r="G146" s="15">
        <f t="shared" si="33"/>
        <v>0</v>
      </c>
      <c r="H146" s="15">
        <f t="shared" si="34"/>
        <v>0</v>
      </c>
      <c r="I146" s="15"/>
      <c r="J146" s="16">
        <f t="shared" si="35"/>
        <v>0</v>
      </c>
      <c r="K146" s="16">
        <f t="shared" si="36"/>
        <v>0</v>
      </c>
      <c r="L146">
        <f t="shared" si="37"/>
        <v>0</v>
      </c>
      <c r="M146">
        <f t="shared" si="38"/>
        <v>0</v>
      </c>
      <c r="N146" s="16">
        <f t="shared" si="39"/>
        <v>0</v>
      </c>
      <c r="O146" s="16"/>
      <c r="P146" s="17">
        <f t="shared" si="40"/>
        <v>0</v>
      </c>
      <c r="Q146">
        <f>Q145/(1+Assumptions!$E$8/12)</f>
        <v>0.65890339493973904</v>
      </c>
      <c r="S146" s="17">
        <f t="shared" si="41"/>
        <v>0</v>
      </c>
      <c r="T146" s="17">
        <f>T145*(1+$K$24)*Z146</f>
        <v>0</v>
      </c>
      <c r="U146" s="17">
        <f t="shared" si="42"/>
        <v>0</v>
      </c>
      <c r="V146" s="17">
        <f t="shared" si="43"/>
        <v>0</v>
      </c>
      <c r="W146" s="17">
        <f t="shared" si="44"/>
        <v>0</v>
      </c>
      <c r="Y146">
        <f>(MONTH(E146)=MONTH(Assumptions!$E$6))*(YEAR(Assumptions!$E$6)=YEAR('Rent v Mortgage'!E146))</f>
        <v>0</v>
      </c>
      <c r="Z146">
        <f>--(SUM($Y$28:Y145)&lt;1)*AA146</f>
        <v>0</v>
      </c>
      <c r="AA146">
        <f t="shared" si="45"/>
        <v>1</v>
      </c>
      <c r="AB146" s="20"/>
      <c r="AC146">
        <f t="shared" si="46"/>
        <v>118</v>
      </c>
      <c r="AD146">
        <f t="shared" si="47"/>
        <v>2035</v>
      </c>
      <c r="AE146" s="12">
        <f t="shared" si="48"/>
        <v>49430</v>
      </c>
      <c r="AG146" s="19">
        <f t="shared" si="49"/>
        <v>0</v>
      </c>
      <c r="AH146" s="19">
        <f t="shared" si="50"/>
        <v>0</v>
      </c>
      <c r="AI146" s="19">
        <f t="shared" si="51"/>
        <v>0</v>
      </c>
      <c r="AK146" s="19">
        <f t="shared" si="52"/>
        <v>0</v>
      </c>
      <c r="AL146" s="19">
        <f ca="1">(IF(MOD(AC146,($AE$15*12)),0,$AG146-IFERROR(SUM(OFFSET(AL145,,,-$AE$15*12)),0))-SUM($AL$28:AL145)*(Z147=0))*(Z146=1)</f>
        <v>0</v>
      </c>
      <c r="AM146" s="19">
        <f t="shared" si="53"/>
        <v>0</v>
      </c>
      <c r="AN146" s="19">
        <f t="shared" si="54"/>
        <v>0</v>
      </c>
      <c r="AP146" s="19">
        <f t="shared" ca="1" si="28"/>
        <v>0</v>
      </c>
      <c r="AQ146" s="18">
        <f t="shared" si="29"/>
        <v>0.65890339493973904</v>
      </c>
    </row>
    <row r="147" spans="3:43" x14ac:dyDescent="0.25">
      <c r="C147">
        <f t="shared" si="30"/>
        <v>119</v>
      </c>
      <c r="D147">
        <f t="shared" si="31"/>
        <v>9</v>
      </c>
      <c r="E147" s="12">
        <f t="shared" si="32"/>
        <v>49461</v>
      </c>
      <c r="F147" s="12"/>
      <c r="G147" s="15">
        <f t="shared" si="33"/>
        <v>0</v>
      </c>
      <c r="H147" s="15">
        <f t="shared" si="34"/>
        <v>0</v>
      </c>
      <c r="I147" s="15"/>
      <c r="J147" s="16">
        <f t="shared" si="35"/>
        <v>0</v>
      </c>
      <c r="K147" s="16">
        <f t="shared" si="36"/>
        <v>0</v>
      </c>
      <c r="L147">
        <f t="shared" si="37"/>
        <v>0</v>
      </c>
      <c r="M147">
        <f t="shared" si="38"/>
        <v>0</v>
      </c>
      <c r="N147" s="16">
        <f t="shared" si="39"/>
        <v>0</v>
      </c>
      <c r="O147" s="16"/>
      <c r="P147" s="17">
        <f t="shared" si="40"/>
        <v>0</v>
      </c>
      <c r="Q147">
        <f>Q146/(1+Assumptions!$E$8/12)</f>
        <v>0.65657801447181796</v>
      </c>
      <c r="S147" s="17">
        <f t="shared" si="41"/>
        <v>0</v>
      </c>
      <c r="T147" s="17">
        <f>T146*(1+$K$24)*Z147</f>
        <v>0</v>
      </c>
      <c r="U147" s="17">
        <f t="shared" si="42"/>
        <v>0</v>
      </c>
      <c r="V147" s="17">
        <f t="shared" si="43"/>
        <v>0</v>
      </c>
      <c r="W147" s="17">
        <f t="shared" si="44"/>
        <v>0</v>
      </c>
      <c r="Y147">
        <f>(MONTH(E147)=MONTH(Assumptions!$E$6))*(YEAR(Assumptions!$E$6)=YEAR('Rent v Mortgage'!E147))</f>
        <v>0</v>
      </c>
      <c r="Z147">
        <f>--(SUM($Y$28:Y146)&lt;1)*AA147</f>
        <v>0</v>
      </c>
      <c r="AA147">
        <f t="shared" si="45"/>
        <v>1</v>
      </c>
      <c r="AB147" s="20"/>
      <c r="AC147">
        <f t="shared" si="46"/>
        <v>119</v>
      </c>
      <c r="AD147">
        <f t="shared" si="47"/>
        <v>2035</v>
      </c>
      <c r="AE147" s="12">
        <f t="shared" si="48"/>
        <v>49461</v>
      </c>
      <c r="AG147" s="19">
        <f t="shared" si="49"/>
        <v>0</v>
      </c>
      <c r="AH147" s="19">
        <f t="shared" si="50"/>
        <v>0</v>
      </c>
      <c r="AI147" s="19">
        <f t="shared" si="51"/>
        <v>0</v>
      </c>
      <c r="AK147" s="19">
        <f t="shared" si="52"/>
        <v>0</v>
      </c>
      <c r="AL147" s="19">
        <f ca="1">(IF(MOD(AC147,($AE$15*12)),0,$AG147-IFERROR(SUM(OFFSET(AL146,,,-$AE$15*12)),0))-SUM($AL$28:AL146)*(Z148=0))*(Z147=1)</f>
        <v>0</v>
      </c>
      <c r="AM147" s="19">
        <f t="shared" si="53"/>
        <v>0</v>
      </c>
      <c r="AN147" s="19">
        <f t="shared" si="54"/>
        <v>0</v>
      </c>
      <c r="AP147" s="19">
        <f t="shared" ca="1" si="28"/>
        <v>0</v>
      </c>
      <c r="AQ147" s="18">
        <f t="shared" si="29"/>
        <v>0.65657801447181796</v>
      </c>
    </row>
    <row r="148" spans="3:43" x14ac:dyDescent="0.25">
      <c r="C148">
        <f t="shared" si="30"/>
        <v>120</v>
      </c>
      <c r="D148">
        <f t="shared" si="31"/>
        <v>10</v>
      </c>
      <c r="E148" s="12">
        <f t="shared" si="32"/>
        <v>49491</v>
      </c>
      <c r="F148" s="12"/>
      <c r="G148" s="15">
        <f t="shared" si="33"/>
        <v>0</v>
      </c>
      <c r="H148" s="15">
        <f t="shared" si="34"/>
        <v>0</v>
      </c>
      <c r="I148" s="15"/>
      <c r="J148" s="16">
        <f t="shared" si="35"/>
        <v>0</v>
      </c>
      <c r="K148" s="16">
        <f t="shared" si="36"/>
        <v>0</v>
      </c>
      <c r="L148">
        <f t="shared" si="37"/>
        <v>0</v>
      </c>
      <c r="M148">
        <f t="shared" si="38"/>
        <v>0</v>
      </c>
      <c r="N148" s="16">
        <f t="shared" si="39"/>
        <v>0</v>
      </c>
      <c r="O148" s="16"/>
      <c r="P148" s="17">
        <f t="shared" si="40"/>
        <v>0</v>
      </c>
      <c r="Q148">
        <f>Q147/(1+Assumptions!$E$8/12)</f>
        <v>0.65426084066114298</v>
      </c>
      <c r="S148" s="17">
        <f t="shared" si="41"/>
        <v>0</v>
      </c>
      <c r="T148" s="17">
        <f>T147*(1+$K$24)*Z148</f>
        <v>0</v>
      </c>
      <c r="U148" s="17">
        <f t="shared" si="42"/>
        <v>0</v>
      </c>
      <c r="V148" s="17">
        <f t="shared" si="43"/>
        <v>0</v>
      </c>
      <c r="W148" s="17">
        <f t="shared" si="44"/>
        <v>0</v>
      </c>
      <c r="Y148">
        <f>(MONTH(E148)=MONTH(Assumptions!$E$6))*(YEAR(Assumptions!$E$6)=YEAR('Rent v Mortgage'!E148))</f>
        <v>0</v>
      </c>
      <c r="Z148">
        <f>--(SUM($Y$28:Y147)&lt;1)*AA148</f>
        <v>0</v>
      </c>
      <c r="AA148">
        <f t="shared" si="45"/>
        <v>1</v>
      </c>
      <c r="AB148" s="20"/>
      <c r="AC148">
        <f t="shared" si="46"/>
        <v>120</v>
      </c>
      <c r="AD148">
        <f t="shared" si="47"/>
        <v>2035</v>
      </c>
      <c r="AE148" s="12">
        <f t="shared" si="48"/>
        <v>49491</v>
      </c>
      <c r="AG148" s="19">
        <f t="shared" si="49"/>
        <v>0</v>
      </c>
      <c r="AH148" s="19">
        <f t="shared" si="50"/>
        <v>0</v>
      </c>
      <c r="AI148" s="19">
        <f t="shared" si="51"/>
        <v>0</v>
      </c>
      <c r="AK148" s="19">
        <f t="shared" si="52"/>
        <v>0</v>
      </c>
      <c r="AL148" s="19">
        <f ca="1">(IF(MOD(AC148,($AE$15*12)),0,$AG148-IFERROR(SUM(OFFSET(AL147,,,-$AE$15*12)),0))-SUM($AL$28:AL147)*(Z149=0))*(Z148=1)</f>
        <v>0</v>
      </c>
      <c r="AM148" s="19">
        <f t="shared" si="53"/>
        <v>0</v>
      </c>
      <c r="AN148" s="19">
        <f t="shared" si="54"/>
        <v>0</v>
      </c>
      <c r="AP148" s="19">
        <f t="shared" ca="1" si="28"/>
        <v>0</v>
      </c>
      <c r="AQ148" s="18">
        <f t="shared" si="29"/>
        <v>0.65426084066114298</v>
      </c>
    </row>
    <row r="149" spans="3:43" x14ac:dyDescent="0.25">
      <c r="C149">
        <f t="shared" si="30"/>
        <v>121</v>
      </c>
      <c r="D149">
        <f t="shared" si="31"/>
        <v>10</v>
      </c>
      <c r="E149" s="12">
        <f t="shared" si="32"/>
        <v>49522</v>
      </c>
      <c r="F149" s="12"/>
      <c r="G149" s="15">
        <f t="shared" si="33"/>
        <v>0</v>
      </c>
      <c r="H149" s="15">
        <f t="shared" si="34"/>
        <v>0</v>
      </c>
      <c r="I149" s="15"/>
      <c r="J149" s="16">
        <f t="shared" si="35"/>
        <v>0</v>
      </c>
      <c r="K149" s="16">
        <f t="shared" si="36"/>
        <v>0</v>
      </c>
      <c r="L149">
        <f t="shared" si="37"/>
        <v>0</v>
      </c>
      <c r="M149">
        <f t="shared" si="38"/>
        <v>0</v>
      </c>
      <c r="N149" s="16">
        <f t="shared" si="39"/>
        <v>0</v>
      </c>
      <c r="O149" s="16"/>
      <c r="P149" s="17">
        <f t="shared" si="40"/>
        <v>0</v>
      </c>
      <c r="Q149">
        <f>Q148/(1+Assumptions!$E$8/12)</f>
        <v>0.65195184454504584</v>
      </c>
      <c r="S149" s="17">
        <f t="shared" si="41"/>
        <v>0</v>
      </c>
      <c r="T149" s="17">
        <f>T148*(1+$K$24)*Z149</f>
        <v>0</v>
      </c>
      <c r="U149" s="17">
        <f t="shared" si="42"/>
        <v>0</v>
      </c>
      <c r="V149" s="17">
        <f t="shared" si="43"/>
        <v>0</v>
      </c>
      <c r="W149" s="17">
        <f t="shared" si="44"/>
        <v>0</v>
      </c>
      <c r="Y149">
        <f>(MONTH(E149)=MONTH(Assumptions!$E$6))*(YEAR(Assumptions!$E$6)=YEAR('Rent v Mortgage'!E149))</f>
        <v>0</v>
      </c>
      <c r="Z149">
        <f>--(SUM($Y$28:Y148)&lt;1)*AA149</f>
        <v>0</v>
      </c>
      <c r="AA149">
        <f t="shared" si="45"/>
        <v>1</v>
      </c>
      <c r="AB149" s="20"/>
      <c r="AC149">
        <f t="shared" si="46"/>
        <v>121</v>
      </c>
      <c r="AD149">
        <f t="shared" si="47"/>
        <v>2035</v>
      </c>
      <c r="AE149" s="12">
        <f t="shared" si="48"/>
        <v>49522</v>
      </c>
      <c r="AG149" s="19">
        <f t="shared" si="49"/>
        <v>0</v>
      </c>
      <c r="AH149" s="19">
        <f t="shared" si="50"/>
        <v>0</v>
      </c>
      <c r="AI149" s="19">
        <f t="shared" si="51"/>
        <v>0</v>
      </c>
      <c r="AK149" s="19">
        <f t="shared" si="52"/>
        <v>0</v>
      </c>
      <c r="AL149" s="19">
        <f ca="1">(IF(MOD(AC149,($AE$15*12)),0,$AG149-IFERROR(SUM(OFFSET(AL148,,,-$AE$15*12)),0))-SUM($AL$28:AL148)*(Z150=0))*(Z149=1)</f>
        <v>0</v>
      </c>
      <c r="AM149" s="19">
        <f t="shared" si="53"/>
        <v>0</v>
      </c>
      <c r="AN149" s="19">
        <f t="shared" si="54"/>
        <v>0</v>
      </c>
      <c r="AP149" s="19">
        <f t="shared" ca="1" si="28"/>
        <v>0</v>
      </c>
      <c r="AQ149" s="18">
        <f t="shared" si="29"/>
        <v>0.65195184454504584</v>
      </c>
    </row>
    <row r="150" spans="3:43" x14ac:dyDescent="0.25">
      <c r="C150">
        <f t="shared" si="30"/>
        <v>122</v>
      </c>
      <c r="D150">
        <f t="shared" si="31"/>
        <v>10</v>
      </c>
      <c r="E150" s="12">
        <f t="shared" si="32"/>
        <v>49553</v>
      </c>
      <c r="F150" s="12"/>
      <c r="G150" s="15">
        <f t="shared" si="33"/>
        <v>0</v>
      </c>
      <c r="H150" s="15">
        <f t="shared" si="34"/>
        <v>0</v>
      </c>
      <c r="I150" s="15"/>
      <c r="J150" s="16">
        <f t="shared" si="35"/>
        <v>0</v>
      </c>
      <c r="K150" s="16">
        <f t="shared" si="36"/>
        <v>0</v>
      </c>
      <c r="L150">
        <f t="shared" si="37"/>
        <v>0</v>
      </c>
      <c r="M150">
        <f t="shared" si="38"/>
        <v>0</v>
      </c>
      <c r="N150" s="16">
        <f t="shared" si="39"/>
        <v>0</v>
      </c>
      <c r="O150" s="16"/>
      <c r="P150" s="17">
        <f t="shared" si="40"/>
        <v>0</v>
      </c>
      <c r="Q150">
        <f>Q149/(1+Assumptions!$E$8/12)</f>
        <v>0.64965099726307241</v>
      </c>
      <c r="S150" s="17">
        <f t="shared" si="41"/>
        <v>0</v>
      </c>
      <c r="T150" s="17">
        <f>T149*(1+$K$24)*Z150</f>
        <v>0</v>
      </c>
      <c r="U150" s="17">
        <f t="shared" si="42"/>
        <v>0</v>
      </c>
      <c r="V150" s="17">
        <f t="shared" si="43"/>
        <v>0</v>
      </c>
      <c r="W150" s="17">
        <f t="shared" si="44"/>
        <v>0</v>
      </c>
      <c r="Y150">
        <f>(MONTH(E150)=MONTH(Assumptions!$E$6))*(YEAR(Assumptions!$E$6)=YEAR('Rent v Mortgage'!E150))</f>
        <v>0</v>
      </c>
      <c r="Z150">
        <f>--(SUM($Y$28:Y149)&lt;1)*AA150</f>
        <v>0</v>
      </c>
      <c r="AA150">
        <f t="shared" si="45"/>
        <v>1</v>
      </c>
      <c r="AB150" s="20"/>
      <c r="AC150">
        <f t="shared" si="46"/>
        <v>122</v>
      </c>
      <c r="AD150">
        <f t="shared" si="47"/>
        <v>2035</v>
      </c>
      <c r="AE150" s="12">
        <f t="shared" si="48"/>
        <v>49553</v>
      </c>
      <c r="AG150" s="19">
        <f t="shared" si="49"/>
        <v>0</v>
      </c>
      <c r="AH150" s="19">
        <f t="shared" si="50"/>
        <v>0</v>
      </c>
      <c r="AI150" s="19">
        <f t="shared" si="51"/>
        <v>0</v>
      </c>
      <c r="AK150" s="19">
        <f t="shared" si="52"/>
        <v>0</v>
      </c>
      <c r="AL150" s="19">
        <f ca="1">(IF(MOD(AC150,($AE$15*12)),0,$AG150-IFERROR(SUM(OFFSET(AL149,,,-$AE$15*12)),0))-SUM($AL$28:AL149)*(Z151=0))*(Z150=1)</f>
        <v>0</v>
      </c>
      <c r="AM150" s="19">
        <f t="shared" si="53"/>
        <v>0</v>
      </c>
      <c r="AN150" s="19">
        <f t="shared" si="54"/>
        <v>0</v>
      </c>
      <c r="AP150" s="19">
        <f t="shared" ca="1" si="28"/>
        <v>0</v>
      </c>
      <c r="AQ150" s="18">
        <f t="shared" si="29"/>
        <v>0.64965099726307241</v>
      </c>
    </row>
    <row r="151" spans="3:43" x14ac:dyDescent="0.25">
      <c r="C151">
        <f t="shared" si="30"/>
        <v>123</v>
      </c>
      <c r="D151">
        <f t="shared" si="31"/>
        <v>10</v>
      </c>
      <c r="E151" s="12">
        <f t="shared" si="32"/>
        <v>49583</v>
      </c>
      <c r="F151" s="12"/>
      <c r="G151" s="15">
        <f t="shared" si="33"/>
        <v>0</v>
      </c>
      <c r="H151" s="15">
        <f t="shared" si="34"/>
        <v>0</v>
      </c>
      <c r="I151" s="15"/>
      <c r="J151" s="16">
        <f t="shared" si="35"/>
        <v>0</v>
      </c>
      <c r="K151" s="16">
        <f t="shared" si="36"/>
        <v>0</v>
      </c>
      <c r="L151">
        <f t="shared" si="37"/>
        <v>0</v>
      </c>
      <c r="M151">
        <f t="shared" si="38"/>
        <v>0</v>
      </c>
      <c r="N151" s="16">
        <f t="shared" si="39"/>
        <v>0</v>
      </c>
      <c r="O151" s="16"/>
      <c r="P151" s="17">
        <f t="shared" si="40"/>
        <v>0</v>
      </c>
      <c r="Q151">
        <f>Q150/(1+Assumptions!$E$8/12)</f>
        <v>0.64735827005662183</v>
      </c>
      <c r="S151" s="17">
        <f t="shared" si="41"/>
        <v>0</v>
      </c>
      <c r="T151" s="17">
        <f>T150*(1+$K$24)*Z151</f>
        <v>0</v>
      </c>
      <c r="U151" s="17">
        <f t="shared" si="42"/>
        <v>0</v>
      </c>
      <c r="V151" s="17">
        <f t="shared" si="43"/>
        <v>0</v>
      </c>
      <c r="W151" s="17">
        <f t="shared" si="44"/>
        <v>0</v>
      </c>
      <c r="Y151">
        <f>(MONTH(E151)=MONTH(Assumptions!$E$6))*(YEAR(Assumptions!$E$6)=YEAR('Rent v Mortgage'!E151))</f>
        <v>0</v>
      </c>
      <c r="Z151">
        <f>--(SUM($Y$28:Y150)&lt;1)*AA151</f>
        <v>0</v>
      </c>
      <c r="AA151">
        <f t="shared" si="45"/>
        <v>1</v>
      </c>
      <c r="AB151" s="20"/>
      <c r="AC151">
        <f t="shared" si="46"/>
        <v>123</v>
      </c>
      <c r="AD151">
        <f t="shared" si="47"/>
        <v>2035</v>
      </c>
      <c r="AE151" s="12">
        <f t="shared" si="48"/>
        <v>49583</v>
      </c>
      <c r="AG151" s="19">
        <f t="shared" si="49"/>
        <v>0</v>
      </c>
      <c r="AH151" s="19">
        <f t="shared" si="50"/>
        <v>0</v>
      </c>
      <c r="AI151" s="19">
        <f t="shared" si="51"/>
        <v>0</v>
      </c>
      <c r="AK151" s="19">
        <f t="shared" si="52"/>
        <v>0</v>
      </c>
      <c r="AL151" s="19">
        <f ca="1">(IF(MOD(AC151,($AE$15*12)),0,$AG151-IFERROR(SUM(OFFSET(AL150,,,-$AE$15*12)),0))-SUM($AL$28:AL150)*(Z152=0))*(Z151=1)</f>
        <v>0</v>
      </c>
      <c r="AM151" s="19">
        <f t="shared" si="53"/>
        <v>0</v>
      </c>
      <c r="AN151" s="19">
        <f t="shared" si="54"/>
        <v>0</v>
      </c>
      <c r="AP151" s="19">
        <f t="shared" ca="1" si="28"/>
        <v>0</v>
      </c>
      <c r="AQ151" s="18">
        <f t="shared" si="29"/>
        <v>0.64735827005662183</v>
      </c>
    </row>
    <row r="152" spans="3:43" x14ac:dyDescent="0.25">
      <c r="C152">
        <f t="shared" si="30"/>
        <v>124</v>
      </c>
      <c r="D152">
        <f t="shared" si="31"/>
        <v>10</v>
      </c>
      <c r="E152" s="12">
        <f t="shared" si="32"/>
        <v>49614</v>
      </c>
      <c r="F152" s="12"/>
      <c r="G152" s="15">
        <f t="shared" si="33"/>
        <v>0</v>
      </c>
      <c r="H152" s="15">
        <f t="shared" si="34"/>
        <v>0</v>
      </c>
      <c r="I152" s="15"/>
      <c r="J152" s="16">
        <f t="shared" si="35"/>
        <v>0</v>
      </c>
      <c r="K152" s="16">
        <f t="shared" si="36"/>
        <v>0</v>
      </c>
      <c r="L152">
        <f t="shared" si="37"/>
        <v>0</v>
      </c>
      <c r="M152">
        <f t="shared" si="38"/>
        <v>0</v>
      </c>
      <c r="N152" s="16">
        <f t="shared" si="39"/>
        <v>0</v>
      </c>
      <c r="O152" s="16"/>
      <c r="P152" s="17">
        <f t="shared" si="40"/>
        <v>0</v>
      </c>
      <c r="Q152">
        <f>Q151/(1+Assumptions!$E$8/12)</f>
        <v>0.64507363426858721</v>
      </c>
      <c r="S152" s="17">
        <f t="shared" si="41"/>
        <v>0</v>
      </c>
      <c r="T152" s="17">
        <f>T151*(1+$K$24)*Z152</f>
        <v>0</v>
      </c>
      <c r="U152" s="17">
        <f t="shared" si="42"/>
        <v>0</v>
      </c>
      <c r="V152" s="17">
        <f t="shared" si="43"/>
        <v>0</v>
      </c>
      <c r="W152" s="17">
        <f t="shared" si="44"/>
        <v>0</v>
      </c>
      <c r="Y152">
        <f>(MONTH(E152)=MONTH(Assumptions!$E$6))*(YEAR(Assumptions!$E$6)=YEAR('Rent v Mortgage'!E152))</f>
        <v>0</v>
      </c>
      <c r="Z152">
        <f>--(SUM($Y$28:Y151)&lt;1)*AA152</f>
        <v>0</v>
      </c>
      <c r="AA152">
        <f t="shared" si="45"/>
        <v>1</v>
      </c>
      <c r="AB152" s="20"/>
      <c r="AC152">
        <f t="shared" si="46"/>
        <v>124</v>
      </c>
      <c r="AD152">
        <f t="shared" si="47"/>
        <v>2035</v>
      </c>
      <c r="AE152" s="12">
        <f t="shared" si="48"/>
        <v>49614</v>
      </c>
      <c r="AG152" s="19">
        <f t="shared" si="49"/>
        <v>0</v>
      </c>
      <c r="AH152" s="19">
        <f t="shared" si="50"/>
        <v>0</v>
      </c>
      <c r="AI152" s="19">
        <f t="shared" si="51"/>
        <v>0</v>
      </c>
      <c r="AK152" s="19">
        <f t="shared" si="52"/>
        <v>0</v>
      </c>
      <c r="AL152" s="19">
        <f ca="1">(IF(MOD(AC152,($AE$15*12)),0,$AG152-IFERROR(SUM(OFFSET(AL151,,,-$AE$15*12)),0))-SUM($AL$28:AL151)*(Z153=0))*(Z152=1)</f>
        <v>0</v>
      </c>
      <c r="AM152" s="19">
        <f t="shared" si="53"/>
        <v>0</v>
      </c>
      <c r="AN152" s="19">
        <f t="shared" si="54"/>
        <v>0</v>
      </c>
      <c r="AP152" s="19">
        <f t="shared" ca="1" si="28"/>
        <v>0</v>
      </c>
      <c r="AQ152" s="18">
        <f t="shared" si="29"/>
        <v>0.64507363426858721</v>
      </c>
    </row>
    <row r="153" spans="3:43" x14ac:dyDescent="0.25">
      <c r="C153">
        <f t="shared" si="30"/>
        <v>125</v>
      </c>
      <c r="D153">
        <f t="shared" si="31"/>
        <v>10</v>
      </c>
      <c r="E153" s="12">
        <f t="shared" si="32"/>
        <v>49644</v>
      </c>
      <c r="F153" s="12"/>
      <c r="G153" s="15">
        <f t="shared" si="33"/>
        <v>0</v>
      </c>
      <c r="H153" s="15">
        <f t="shared" si="34"/>
        <v>0</v>
      </c>
      <c r="I153" s="15"/>
      <c r="J153" s="16">
        <f t="shared" si="35"/>
        <v>0</v>
      </c>
      <c r="K153" s="16">
        <f t="shared" si="36"/>
        <v>0</v>
      </c>
      <c r="L153">
        <f t="shared" si="37"/>
        <v>0</v>
      </c>
      <c r="M153">
        <f t="shared" si="38"/>
        <v>0</v>
      </c>
      <c r="N153" s="16">
        <f t="shared" si="39"/>
        <v>0</v>
      </c>
      <c r="O153" s="16"/>
      <c r="P153" s="17">
        <f t="shared" si="40"/>
        <v>0</v>
      </c>
      <c r="Q153">
        <f>Q152/(1+Assumptions!$E$8/12)</f>
        <v>0.64279706134299741</v>
      </c>
      <c r="S153" s="17">
        <f t="shared" si="41"/>
        <v>0</v>
      </c>
      <c r="T153" s="17">
        <f>T152*(1+$K$24)*Z153</f>
        <v>0</v>
      </c>
      <c r="U153" s="17">
        <f t="shared" si="42"/>
        <v>0</v>
      </c>
      <c r="V153" s="17">
        <f t="shared" si="43"/>
        <v>0</v>
      </c>
      <c r="W153" s="17">
        <f t="shared" si="44"/>
        <v>0</v>
      </c>
      <c r="Y153">
        <f>(MONTH(E153)=MONTH(Assumptions!$E$6))*(YEAR(Assumptions!$E$6)=YEAR('Rent v Mortgage'!E153))</f>
        <v>0</v>
      </c>
      <c r="Z153">
        <f>--(SUM($Y$28:Y152)&lt;1)*AA153</f>
        <v>0</v>
      </c>
      <c r="AA153">
        <f t="shared" si="45"/>
        <v>1</v>
      </c>
      <c r="AB153" s="20"/>
      <c r="AC153">
        <f t="shared" si="46"/>
        <v>125</v>
      </c>
      <c r="AD153">
        <f t="shared" si="47"/>
        <v>2035</v>
      </c>
      <c r="AE153" s="12">
        <f t="shared" si="48"/>
        <v>49644</v>
      </c>
      <c r="AG153" s="19">
        <f t="shared" si="49"/>
        <v>0</v>
      </c>
      <c r="AH153" s="19">
        <f t="shared" si="50"/>
        <v>0</v>
      </c>
      <c r="AI153" s="19">
        <f t="shared" si="51"/>
        <v>0</v>
      </c>
      <c r="AK153" s="19">
        <f t="shared" si="52"/>
        <v>0</v>
      </c>
      <c r="AL153" s="19">
        <f ca="1">(IF(MOD(AC153,($AE$15*12)),0,$AG153-IFERROR(SUM(OFFSET(AL152,,,-$AE$15*12)),0))-SUM($AL$28:AL152)*(Z154=0))*(Z153=1)</f>
        <v>0</v>
      </c>
      <c r="AM153" s="19">
        <f t="shared" si="53"/>
        <v>0</v>
      </c>
      <c r="AN153" s="19">
        <f t="shared" si="54"/>
        <v>0</v>
      </c>
      <c r="AP153" s="19">
        <f t="shared" ca="1" si="28"/>
        <v>0</v>
      </c>
      <c r="AQ153" s="18">
        <f t="shared" si="29"/>
        <v>0.64279706134299741</v>
      </c>
    </row>
    <row r="154" spans="3:43" x14ac:dyDescent="0.25">
      <c r="C154">
        <f t="shared" si="30"/>
        <v>126</v>
      </c>
      <c r="D154">
        <f t="shared" si="31"/>
        <v>10</v>
      </c>
      <c r="E154" s="12">
        <f t="shared" si="32"/>
        <v>49675</v>
      </c>
      <c r="F154" s="12"/>
      <c r="G154" s="15">
        <f t="shared" si="33"/>
        <v>0</v>
      </c>
      <c r="H154" s="15">
        <f t="shared" si="34"/>
        <v>0</v>
      </c>
      <c r="I154" s="15"/>
      <c r="J154" s="16">
        <f t="shared" si="35"/>
        <v>0</v>
      </c>
      <c r="K154" s="16">
        <f t="shared" si="36"/>
        <v>0</v>
      </c>
      <c r="L154">
        <f t="shared" si="37"/>
        <v>0</v>
      </c>
      <c r="M154">
        <f t="shared" si="38"/>
        <v>0</v>
      </c>
      <c r="N154" s="16">
        <f t="shared" si="39"/>
        <v>0</v>
      </c>
      <c r="O154" s="16"/>
      <c r="P154" s="17">
        <f t="shared" si="40"/>
        <v>0</v>
      </c>
      <c r="Q154">
        <f>Q153/(1+Assumptions!$E$8/12)</f>
        <v>0.64052852282466</v>
      </c>
      <c r="S154" s="17">
        <f t="shared" si="41"/>
        <v>0</v>
      </c>
      <c r="T154" s="17">
        <f>T153*(1+$K$24)*Z154</f>
        <v>0</v>
      </c>
      <c r="U154" s="17">
        <f t="shared" si="42"/>
        <v>0</v>
      </c>
      <c r="V154" s="17">
        <f t="shared" si="43"/>
        <v>0</v>
      </c>
      <c r="W154" s="17">
        <f t="shared" si="44"/>
        <v>0</v>
      </c>
      <c r="Y154">
        <f>(MONTH(E154)=MONTH(Assumptions!$E$6))*(YEAR(Assumptions!$E$6)=YEAR('Rent v Mortgage'!E154))</f>
        <v>0</v>
      </c>
      <c r="Z154">
        <f>--(SUM($Y$28:Y153)&lt;1)*AA154</f>
        <v>0</v>
      </c>
      <c r="AA154">
        <f t="shared" si="45"/>
        <v>1</v>
      </c>
      <c r="AB154" s="20"/>
      <c r="AC154">
        <f t="shared" si="46"/>
        <v>126</v>
      </c>
      <c r="AD154">
        <f t="shared" si="47"/>
        <v>2036</v>
      </c>
      <c r="AE154" s="12">
        <f t="shared" si="48"/>
        <v>49675</v>
      </c>
      <c r="AG154" s="19">
        <f t="shared" si="49"/>
        <v>0</v>
      </c>
      <c r="AH154" s="19">
        <f t="shared" si="50"/>
        <v>0</v>
      </c>
      <c r="AI154" s="19">
        <f t="shared" si="51"/>
        <v>0</v>
      </c>
      <c r="AK154" s="19">
        <f t="shared" si="52"/>
        <v>0</v>
      </c>
      <c r="AL154" s="19">
        <f ca="1">(IF(MOD(AC154,($AE$15*12)),0,$AG154-IFERROR(SUM(OFFSET(AL153,,,-$AE$15*12)),0))-SUM($AL$28:AL153)*(Z155=0))*(Z154=1)</f>
        <v>0</v>
      </c>
      <c r="AM154" s="19">
        <f t="shared" si="53"/>
        <v>0</v>
      </c>
      <c r="AN154" s="19">
        <f t="shared" si="54"/>
        <v>0</v>
      </c>
      <c r="AP154" s="19">
        <f t="shared" ca="1" si="28"/>
        <v>0</v>
      </c>
      <c r="AQ154" s="18">
        <f t="shared" si="29"/>
        <v>0.64052852282466</v>
      </c>
    </row>
    <row r="155" spans="3:43" x14ac:dyDescent="0.25">
      <c r="C155">
        <f t="shared" si="30"/>
        <v>127</v>
      </c>
      <c r="D155">
        <f t="shared" si="31"/>
        <v>10</v>
      </c>
      <c r="E155" s="12">
        <f t="shared" si="32"/>
        <v>49706</v>
      </c>
      <c r="F155" s="12"/>
      <c r="G155" s="15">
        <f t="shared" si="33"/>
        <v>0</v>
      </c>
      <c r="H155" s="15">
        <f t="shared" si="34"/>
        <v>0</v>
      </c>
      <c r="I155" s="15"/>
      <c r="J155" s="16">
        <f t="shared" si="35"/>
        <v>0</v>
      </c>
      <c r="K155" s="16">
        <f t="shared" si="36"/>
        <v>0</v>
      </c>
      <c r="L155">
        <f t="shared" si="37"/>
        <v>0</v>
      </c>
      <c r="M155">
        <f t="shared" si="38"/>
        <v>0</v>
      </c>
      <c r="N155" s="16">
        <f t="shared" si="39"/>
        <v>0</v>
      </c>
      <c r="O155" s="16"/>
      <c r="P155" s="17">
        <f t="shared" si="40"/>
        <v>0</v>
      </c>
      <c r="Q155">
        <f>Q154/(1+Assumptions!$E$8/12)</f>
        <v>0.63826799035880577</v>
      </c>
      <c r="S155" s="17">
        <f t="shared" si="41"/>
        <v>0</v>
      </c>
      <c r="T155" s="17">
        <f>T154*(1+$K$24)*Z155</f>
        <v>0</v>
      </c>
      <c r="U155" s="17">
        <f t="shared" si="42"/>
        <v>0</v>
      </c>
      <c r="V155" s="17">
        <f t="shared" si="43"/>
        <v>0</v>
      </c>
      <c r="W155" s="17">
        <f t="shared" si="44"/>
        <v>0</v>
      </c>
      <c r="Y155">
        <f>(MONTH(E155)=MONTH(Assumptions!$E$6))*(YEAR(Assumptions!$E$6)=YEAR('Rent v Mortgage'!E155))</f>
        <v>0</v>
      </c>
      <c r="Z155">
        <f>--(SUM($Y$28:Y154)&lt;1)*AA155</f>
        <v>0</v>
      </c>
      <c r="AA155">
        <f t="shared" si="45"/>
        <v>1</v>
      </c>
      <c r="AB155" s="20"/>
      <c r="AC155">
        <f t="shared" si="46"/>
        <v>127</v>
      </c>
      <c r="AD155">
        <f t="shared" si="47"/>
        <v>2036</v>
      </c>
      <c r="AE155" s="12">
        <f t="shared" si="48"/>
        <v>49706</v>
      </c>
      <c r="AG155" s="19">
        <f t="shared" si="49"/>
        <v>0</v>
      </c>
      <c r="AH155" s="19">
        <f t="shared" si="50"/>
        <v>0</v>
      </c>
      <c r="AI155" s="19">
        <f t="shared" si="51"/>
        <v>0</v>
      </c>
      <c r="AK155" s="19">
        <f t="shared" si="52"/>
        <v>0</v>
      </c>
      <c r="AL155" s="19">
        <f ca="1">(IF(MOD(AC155,($AE$15*12)),0,$AG155-IFERROR(SUM(OFFSET(AL154,,,-$AE$15*12)),0))-SUM($AL$28:AL154)*(Z156=0))*(Z155=1)</f>
        <v>0</v>
      </c>
      <c r="AM155" s="19">
        <f t="shared" si="53"/>
        <v>0</v>
      </c>
      <c r="AN155" s="19">
        <f t="shared" si="54"/>
        <v>0</v>
      </c>
      <c r="AP155" s="19">
        <f t="shared" ca="1" si="28"/>
        <v>0</v>
      </c>
      <c r="AQ155" s="18">
        <f t="shared" si="29"/>
        <v>0.63826799035880577</v>
      </c>
    </row>
    <row r="156" spans="3:43" x14ac:dyDescent="0.25">
      <c r="C156">
        <f t="shared" si="30"/>
        <v>128</v>
      </c>
      <c r="D156">
        <f t="shared" si="31"/>
        <v>10</v>
      </c>
      <c r="E156" s="12">
        <f t="shared" si="32"/>
        <v>49735</v>
      </c>
      <c r="F156" s="12"/>
      <c r="G156" s="15">
        <f t="shared" si="33"/>
        <v>0</v>
      </c>
      <c r="H156" s="15">
        <f t="shared" si="34"/>
        <v>0</v>
      </c>
      <c r="I156" s="15"/>
      <c r="J156" s="16">
        <f t="shared" si="35"/>
        <v>0</v>
      </c>
      <c r="K156" s="16">
        <f t="shared" si="36"/>
        <v>0</v>
      </c>
      <c r="L156">
        <f t="shared" si="37"/>
        <v>0</v>
      </c>
      <c r="M156">
        <f t="shared" si="38"/>
        <v>0</v>
      </c>
      <c r="N156" s="16">
        <f t="shared" si="39"/>
        <v>0</v>
      </c>
      <c r="O156" s="16"/>
      <c r="P156" s="17">
        <f t="shared" si="40"/>
        <v>0</v>
      </c>
      <c r="Q156">
        <f>Q155/(1+Assumptions!$E$8/12)</f>
        <v>0.63601543569073438</v>
      </c>
      <c r="S156" s="17">
        <f t="shared" si="41"/>
        <v>0</v>
      </c>
      <c r="T156" s="17">
        <f>T155*(1+$K$24)*Z156</f>
        <v>0</v>
      </c>
      <c r="U156" s="17">
        <f t="shared" si="42"/>
        <v>0</v>
      </c>
      <c r="V156" s="17">
        <f t="shared" si="43"/>
        <v>0</v>
      </c>
      <c r="W156" s="17">
        <f t="shared" si="44"/>
        <v>0</v>
      </c>
      <c r="Y156">
        <f>(MONTH(E156)=MONTH(Assumptions!$E$6))*(YEAR(Assumptions!$E$6)=YEAR('Rent v Mortgage'!E156))</f>
        <v>0</v>
      </c>
      <c r="Z156">
        <f>--(SUM($Y$28:Y155)&lt;1)*AA156</f>
        <v>0</v>
      </c>
      <c r="AA156">
        <f t="shared" si="45"/>
        <v>1</v>
      </c>
      <c r="AB156" s="20"/>
      <c r="AC156">
        <f t="shared" si="46"/>
        <v>128</v>
      </c>
      <c r="AD156">
        <f t="shared" si="47"/>
        <v>2036</v>
      </c>
      <c r="AE156" s="12">
        <f t="shared" si="48"/>
        <v>49735</v>
      </c>
      <c r="AG156" s="19">
        <f t="shared" si="49"/>
        <v>0</v>
      </c>
      <c r="AH156" s="19">
        <f t="shared" si="50"/>
        <v>0</v>
      </c>
      <c r="AI156" s="19">
        <f t="shared" si="51"/>
        <v>0</v>
      </c>
      <c r="AK156" s="19">
        <f t="shared" si="52"/>
        <v>0</v>
      </c>
      <c r="AL156" s="19">
        <f ca="1">(IF(MOD(AC156,($AE$15*12)),0,$AG156-IFERROR(SUM(OFFSET(AL155,,,-$AE$15*12)),0))-SUM($AL$28:AL155)*(Z157=0))*(Z156=1)</f>
        <v>0</v>
      </c>
      <c r="AM156" s="19">
        <f t="shared" si="53"/>
        <v>0</v>
      </c>
      <c r="AN156" s="19">
        <f t="shared" si="54"/>
        <v>0</v>
      </c>
      <c r="AP156" s="19">
        <f t="shared" ca="1" si="28"/>
        <v>0</v>
      </c>
      <c r="AQ156" s="18">
        <f t="shared" si="29"/>
        <v>0.63601543569073438</v>
      </c>
    </row>
    <row r="157" spans="3:43" x14ac:dyDescent="0.25">
      <c r="C157">
        <f t="shared" si="30"/>
        <v>129</v>
      </c>
      <c r="D157">
        <f t="shared" si="31"/>
        <v>10</v>
      </c>
      <c r="E157" s="12">
        <f t="shared" si="32"/>
        <v>49766</v>
      </c>
      <c r="F157" s="12"/>
      <c r="G157" s="15">
        <f t="shared" si="33"/>
        <v>0</v>
      </c>
      <c r="H157" s="15">
        <f t="shared" si="34"/>
        <v>0</v>
      </c>
      <c r="I157" s="15"/>
      <c r="J157" s="16">
        <f t="shared" si="35"/>
        <v>0</v>
      </c>
      <c r="K157" s="16">
        <f t="shared" si="36"/>
        <v>0</v>
      </c>
      <c r="L157">
        <f t="shared" si="37"/>
        <v>0</v>
      </c>
      <c r="M157">
        <f t="shared" si="38"/>
        <v>0</v>
      </c>
      <c r="N157" s="16">
        <f t="shared" si="39"/>
        <v>0</v>
      </c>
      <c r="O157" s="16"/>
      <c r="P157" s="17">
        <f t="shared" si="40"/>
        <v>0</v>
      </c>
      <c r="Q157">
        <f>Q156/(1+Assumptions!$E$8/12)</f>
        <v>0.6337708306654608</v>
      </c>
      <c r="S157" s="17">
        <f t="shared" si="41"/>
        <v>0</v>
      </c>
      <c r="T157" s="17">
        <f>T156*(1+$K$24)*Z157</f>
        <v>0</v>
      </c>
      <c r="U157" s="17">
        <f t="shared" si="42"/>
        <v>0</v>
      </c>
      <c r="V157" s="17">
        <f t="shared" si="43"/>
        <v>0</v>
      </c>
      <c r="W157" s="17">
        <f t="shared" si="44"/>
        <v>0</v>
      </c>
      <c r="Y157">
        <f>(MONTH(E157)=MONTH(Assumptions!$E$6))*(YEAR(Assumptions!$E$6)=YEAR('Rent v Mortgage'!E157))</f>
        <v>0</v>
      </c>
      <c r="Z157">
        <f>--(SUM($Y$28:Y156)&lt;1)*AA157</f>
        <v>0</v>
      </c>
      <c r="AA157">
        <f t="shared" si="45"/>
        <v>1</v>
      </c>
      <c r="AB157" s="20"/>
      <c r="AC157">
        <f t="shared" si="46"/>
        <v>129</v>
      </c>
      <c r="AD157">
        <f t="shared" si="47"/>
        <v>2036</v>
      </c>
      <c r="AE157" s="12">
        <f t="shared" si="48"/>
        <v>49766</v>
      </c>
      <c r="AG157" s="19">
        <f t="shared" si="49"/>
        <v>0</v>
      </c>
      <c r="AH157" s="19">
        <f t="shared" si="50"/>
        <v>0</v>
      </c>
      <c r="AI157" s="19">
        <f t="shared" si="51"/>
        <v>0</v>
      </c>
      <c r="AK157" s="19">
        <f t="shared" si="52"/>
        <v>0</v>
      </c>
      <c r="AL157" s="19">
        <f ca="1">(IF(MOD(AC157,($AE$15*12)),0,$AG157-IFERROR(SUM(OFFSET(AL156,,,-$AE$15*12)),0))-SUM($AL$28:AL156)*(Z158=0))*(Z157=1)</f>
        <v>0</v>
      </c>
      <c r="AM157" s="19">
        <f t="shared" si="53"/>
        <v>0</v>
      </c>
      <c r="AN157" s="19">
        <f t="shared" si="54"/>
        <v>0</v>
      </c>
      <c r="AP157" s="19">
        <f t="shared" ref="AP157:AP220" ca="1" si="55">SUM(AG157:AN157)*-1</f>
        <v>0</v>
      </c>
      <c r="AQ157" s="18">
        <f t="shared" ref="AQ157:AQ220" si="56">Q157</f>
        <v>0.6337708306654608</v>
      </c>
    </row>
    <row r="158" spans="3:43" x14ac:dyDescent="0.25">
      <c r="C158">
        <f t="shared" ref="C158:C221" si="57">C157+1</f>
        <v>130</v>
      </c>
      <c r="D158">
        <f t="shared" ref="D158:D221" si="58">DATEDIF($E$28,E158,"y")</f>
        <v>10</v>
      </c>
      <c r="E158" s="12">
        <f t="shared" ref="E158:E221" si="59">EDATE(E157,1)</f>
        <v>49796</v>
      </c>
      <c r="F158" s="12"/>
      <c r="G158" s="15">
        <f t="shared" ref="G158:G221" si="60">IF(Z158,-PPMT($H$8/12,C158,$H$7*12,$H$5*(1-$H$9)),0)</f>
        <v>0</v>
      </c>
      <c r="H158" s="15">
        <f t="shared" ref="H158:H221" si="61">IF(Z158,($H$6-G158),0)</f>
        <v>0</v>
      </c>
      <c r="I158" s="15"/>
      <c r="J158" s="16">
        <f t="shared" ref="J158:J221" si="62">IF(Z158,($H$15*$H$5/12),0)</f>
        <v>0</v>
      </c>
      <c r="K158" s="16">
        <f t="shared" ref="K158:K221" si="63">IF(Z158,($H$14*$H$5/12),0)</f>
        <v>0</v>
      </c>
      <c r="L158">
        <f t="shared" ref="L158:L221" si="64">IF(MOD(C158,12),0,$H$16*T158)*Z158</f>
        <v>0</v>
      </c>
      <c r="M158">
        <f t="shared" ref="M158:M221" si="65">IF(MOD(C158,3),0,$H$13*S158/4)*Z158</f>
        <v>0</v>
      </c>
      <c r="N158" s="16">
        <f t="shared" ref="N158:N221" si="66">$H$21*Z158*$H$20</f>
        <v>0</v>
      </c>
      <c r="O158" s="16"/>
      <c r="P158" s="17">
        <f t="shared" ref="P158:P221" si="67">-SUM(G158:N158)+Y158*W158</f>
        <v>0</v>
      </c>
      <c r="Q158">
        <f>Q157/(1+Assumptions!$E$8/12)</f>
        <v>0.63153414722736378</v>
      </c>
      <c r="S158" s="17">
        <f t="shared" ref="S158:S221" si="68">IF(MOD(C158,12),S157,T158)*Z158</f>
        <v>0</v>
      </c>
      <c r="T158" s="17">
        <f>T157*(1+$K$24)*Z158</f>
        <v>0</v>
      </c>
      <c r="U158" s="17">
        <f t="shared" ref="U158:U221" si="69">V157*Z158</f>
        <v>0</v>
      </c>
      <c r="V158" s="17">
        <f t="shared" ref="V158:V221" si="70">U158-G158</f>
        <v>0</v>
      </c>
      <c r="W158" s="17">
        <f t="shared" ref="W158:W221" si="71">T158-V158</f>
        <v>0</v>
      </c>
      <c r="Y158">
        <f>(MONTH(E158)=MONTH(Assumptions!$E$6))*(YEAR(Assumptions!$E$6)=YEAR('Rent v Mortgage'!E158))</f>
        <v>0</v>
      </c>
      <c r="Z158">
        <f>--(SUM($Y$28:Y157)&lt;1)*AA158</f>
        <v>0</v>
      </c>
      <c r="AA158">
        <f t="shared" ref="AA158:AA221" si="72">(C158&lt;=$H$7*12)*1</f>
        <v>1</v>
      </c>
      <c r="AB158" s="20"/>
      <c r="AC158">
        <f t="shared" ref="AC158:AC221" si="73">C158</f>
        <v>130</v>
      </c>
      <c r="AD158">
        <f t="shared" ref="AD158:AD221" si="74">YEAR(AE158)</f>
        <v>2036</v>
      </c>
      <c r="AE158" s="12">
        <f t="shared" ref="AE158:AE221" si="75">E158</f>
        <v>49796</v>
      </c>
      <c r="AG158" s="19">
        <f t="shared" ref="AG158:AG221" si="76">AG157*(1+$AE$18*(MOD(AC158,12)=0))*Z158</f>
        <v>0</v>
      </c>
      <c r="AH158" s="19">
        <f t="shared" ref="AH158:AH221" si="77">$AE$7*$AG157*Z158</f>
        <v>0</v>
      </c>
      <c r="AI158" s="19">
        <f t="shared" ref="AI158:AI221" si="78">IF(MOD(AC158,12),0,$AE$8)*Z158</f>
        <v>0</v>
      </c>
      <c r="AK158" s="19">
        <f t="shared" ref="AK158:AK221" si="79">IF(MOD(AC158,($AE$15*12)),0,$AE$11)*Z158</f>
        <v>0</v>
      </c>
      <c r="AL158" s="19">
        <f ca="1">(IF(MOD(AC158,($AE$15*12)),0,$AG158-IFERROR(SUM(OFFSET(AL157,,,-$AE$15*12)),0))-SUM($AL$28:AL157)*(Z159=0))*(Z158=1)</f>
        <v>0</v>
      </c>
      <c r="AM158" s="19">
        <f t="shared" ref="AM158:AM221" si="80">IF(MOD(AC158,($AE$15*12)),0,$AE$13)*Z158</f>
        <v>0</v>
      </c>
      <c r="AN158" s="19">
        <f t="shared" ref="AN158:AN221" si="81">AG158*$AE$17*(Z159=0)</f>
        <v>0</v>
      </c>
      <c r="AP158" s="19">
        <f t="shared" ca="1" si="55"/>
        <v>0</v>
      </c>
      <c r="AQ158" s="18">
        <f t="shared" si="56"/>
        <v>0.63153414722736378</v>
      </c>
    </row>
    <row r="159" spans="3:43" x14ac:dyDescent="0.25">
      <c r="C159">
        <f t="shared" si="57"/>
        <v>131</v>
      </c>
      <c r="D159">
        <f t="shared" si="58"/>
        <v>10</v>
      </c>
      <c r="E159" s="12">
        <f t="shared" si="59"/>
        <v>49827</v>
      </c>
      <c r="F159" s="12"/>
      <c r="G159" s="15">
        <f t="shared" si="60"/>
        <v>0</v>
      </c>
      <c r="H159" s="15">
        <f t="shared" si="61"/>
        <v>0</v>
      </c>
      <c r="I159" s="15"/>
      <c r="J159" s="16">
        <f t="shared" si="62"/>
        <v>0</v>
      </c>
      <c r="K159" s="16">
        <f t="shared" si="63"/>
        <v>0</v>
      </c>
      <c r="L159">
        <f t="shared" si="64"/>
        <v>0</v>
      </c>
      <c r="M159">
        <f t="shared" si="65"/>
        <v>0</v>
      </c>
      <c r="N159" s="16">
        <f t="shared" si="66"/>
        <v>0</v>
      </c>
      <c r="O159" s="16"/>
      <c r="P159" s="17">
        <f t="shared" si="67"/>
        <v>0</v>
      </c>
      <c r="Q159">
        <f>Q158/(1+Assumptions!$E$8/12)</f>
        <v>0.62930535741983518</v>
      </c>
      <c r="S159" s="17">
        <f t="shared" si="68"/>
        <v>0</v>
      </c>
      <c r="T159" s="17">
        <f>T158*(1+$K$24)*Z159</f>
        <v>0</v>
      </c>
      <c r="U159" s="17">
        <f t="shared" si="69"/>
        <v>0</v>
      </c>
      <c r="V159" s="17">
        <f t="shared" si="70"/>
        <v>0</v>
      </c>
      <c r="W159" s="17">
        <f t="shared" si="71"/>
        <v>0</v>
      </c>
      <c r="Y159">
        <f>(MONTH(E159)=MONTH(Assumptions!$E$6))*(YEAR(Assumptions!$E$6)=YEAR('Rent v Mortgage'!E159))</f>
        <v>0</v>
      </c>
      <c r="Z159">
        <f>--(SUM($Y$28:Y158)&lt;1)*AA159</f>
        <v>0</v>
      </c>
      <c r="AA159">
        <f t="shared" si="72"/>
        <v>1</v>
      </c>
      <c r="AB159" s="20"/>
      <c r="AC159">
        <f t="shared" si="73"/>
        <v>131</v>
      </c>
      <c r="AD159">
        <f t="shared" si="74"/>
        <v>2036</v>
      </c>
      <c r="AE159" s="12">
        <f t="shared" si="75"/>
        <v>49827</v>
      </c>
      <c r="AG159" s="19">
        <f t="shared" si="76"/>
        <v>0</v>
      </c>
      <c r="AH159" s="19">
        <f t="shared" si="77"/>
        <v>0</v>
      </c>
      <c r="AI159" s="19">
        <f t="shared" si="78"/>
        <v>0</v>
      </c>
      <c r="AK159" s="19">
        <f t="shared" si="79"/>
        <v>0</v>
      </c>
      <c r="AL159" s="19">
        <f ca="1">(IF(MOD(AC159,($AE$15*12)),0,$AG159-IFERROR(SUM(OFFSET(AL158,,,-$AE$15*12)),0))-SUM($AL$28:AL158)*(Z160=0))*(Z159=1)</f>
        <v>0</v>
      </c>
      <c r="AM159" s="19">
        <f t="shared" si="80"/>
        <v>0</v>
      </c>
      <c r="AN159" s="19">
        <f t="shared" si="81"/>
        <v>0</v>
      </c>
      <c r="AP159" s="19">
        <f t="shared" ca="1" si="55"/>
        <v>0</v>
      </c>
      <c r="AQ159" s="18">
        <f t="shared" si="56"/>
        <v>0.62930535741983518</v>
      </c>
    </row>
    <row r="160" spans="3:43" x14ac:dyDescent="0.25">
      <c r="C160">
        <f t="shared" si="57"/>
        <v>132</v>
      </c>
      <c r="D160">
        <f t="shared" si="58"/>
        <v>11</v>
      </c>
      <c r="E160" s="12">
        <f t="shared" si="59"/>
        <v>49857</v>
      </c>
      <c r="F160" s="12"/>
      <c r="G160" s="15">
        <f t="shared" si="60"/>
        <v>0</v>
      </c>
      <c r="H160" s="15">
        <f t="shared" si="61"/>
        <v>0</v>
      </c>
      <c r="I160" s="15"/>
      <c r="J160" s="16">
        <f t="shared" si="62"/>
        <v>0</v>
      </c>
      <c r="K160" s="16">
        <f t="shared" si="63"/>
        <v>0</v>
      </c>
      <c r="L160">
        <f t="shared" si="64"/>
        <v>0</v>
      </c>
      <c r="M160">
        <f t="shared" si="65"/>
        <v>0</v>
      </c>
      <c r="N160" s="16">
        <f t="shared" si="66"/>
        <v>0</v>
      </c>
      <c r="O160" s="16"/>
      <c r="P160" s="17">
        <f t="shared" si="67"/>
        <v>0</v>
      </c>
      <c r="Q160">
        <f>Q159/(1+Assumptions!$E$8/12)</f>
        <v>0.62708443338493014</v>
      </c>
      <c r="S160" s="17">
        <f t="shared" si="68"/>
        <v>0</v>
      </c>
      <c r="T160" s="17">
        <f>T159*(1+$K$24)*Z160</f>
        <v>0</v>
      </c>
      <c r="U160" s="17">
        <f t="shared" si="69"/>
        <v>0</v>
      </c>
      <c r="V160" s="17">
        <f t="shared" si="70"/>
        <v>0</v>
      </c>
      <c r="W160" s="17">
        <f t="shared" si="71"/>
        <v>0</v>
      </c>
      <c r="Y160">
        <f>(MONTH(E160)=MONTH(Assumptions!$E$6))*(YEAR(Assumptions!$E$6)=YEAR('Rent v Mortgage'!E160))</f>
        <v>0</v>
      </c>
      <c r="Z160">
        <f>--(SUM($Y$28:Y159)&lt;1)*AA160</f>
        <v>0</v>
      </c>
      <c r="AA160">
        <f t="shared" si="72"/>
        <v>1</v>
      </c>
      <c r="AB160" s="20"/>
      <c r="AC160">
        <f t="shared" si="73"/>
        <v>132</v>
      </c>
      <c r="AD160">
        <f t="shared" si="74"/>
        <v>2036</v>
      </c>
      <c r="AE160" s="12">
        <f t="shared" si="75"/>
        <v>49857</v>
      </c>
      <c r="AG160" s="19">
        <f t="shared" si="76"/>
        <v>0</v>
      </c>
      <c r="AH160" s="19">
        <f t="shared" si="77"/>
        <v>0</v>
      </c>
      <c r="AI160" s="19">
        <f t="shared" si="78"/>
        <v>0</v>
      </c>
      <c r="AK160" s="19">
        <f t="shared" si="79"/>
        <v>0</v>
      </c>
      <c r="AL160" s="19">
        <f ca="1">(IF(MOD(AC160,($AE$15*12)),0,$AG160-IFERROR(SUM(OFFSET(AL159,,,-$AE$15*12)),0))-SUM($AL$28:AL159)*(Z161=0))*(Z160=1)</f>
        <v>0</v>
      </c>
      <c r="AM160" s="19">
        <f t="shared" si="80"/>
        <v>0</v>
      </c>
      <c r="AN160" s="19">
        <f t="shared" si="81"/>
        <v>0</v>
      </c>
      <c r="AP160" s="19">
        <f t="shared" ca="1" si="55"/>
        <v>0</v>
      </c>
      <c r="AQ160" s="18">
        <f t="shared" si="56"/>
        <v>0.62708443338493014</v>
      </c>
    </row>
    <row r="161" spans="3:43" x14ac:dyDescent="0.25">
      <c r="C161">
        <f t="shared" si="57"/>
        <v>133</v>
      </c>
      <c r="D161">
        <f t="shared" si="58"/>
        <v>11</v>
      </c>
      <c r="E161" s="12">
        <f t="shared" si="59"/>
        <v>49888</v>
      </c>
      <c r="F161" s="12"/>
      <c r="G161" s="15">
        <f t="shared" si="60"/>
        <v>0</v>
      </c>
      <c r="H161" s="15">
        <f t="shared" si="61"/>
        <v>0</v>
      </c>
      <c r="I161" s="15"/>
      <c r="J161" s="16">
        <f t="shared" si="62"/>
        <v>0</v>
      </c>
      <c r="K161" s="16">
        <f t="shared" si="63"/>
        <v>0</v>
      </c>
      <c r="L161">
        <f t="shared" si="64"/>
        <v>0</v>
      </c>
      <c r="M161">
        <f t="shared" si="65"/>
        <v>0</v>
      </c>
      <c r="N161" s="16">
        <f t="shared" si="66"/>
        <v>0</v>
      </c>
      <c r="O161" s="16"/>
      <c r="P161" s="17">
        <f t="shared" si="67"/>
        <v>0</v>
      </c>
      <c r="Q161">
        <f>Q160/(1+Assumptions!$E$8/12)</f>
        <v>0.62487134736301941</v>
      </c>
      <c r="S161" s="17">
        <f t="shared" si="68"/>
        <v>0</v>
      </c>
      <c r="T161" s="17">
        <f>T160*(1+$K$24)*Z161</f>
        <v>0</v>
      </c>
      <c r="U161" s="17">
        <f t="shared" si="69"/>
        <v>0</v>
      </c>
      <c r="V161" s="17">
        <f t="shared" si="70"/>
        <v>0</v>
      </c>
      <c r="W161" s="17">
        <f t="shared" si="71"/>
        <v>0</v>
      </c>
      <c r="Y161">
        <f>(MONTH(E161)=MONTH(Assumptions!$E$6))*(YEAR(Assumptions!$E$6)=YEAR('Rent v Mortgage'!E161))</f>
        <v>0</v>
      </c>
      <c r="Z161">
        <f>--(SUM($Y$28:Y160)&lt;1)*AA161</f>
        <v>0</v>
      </c>
      <c r="AA161">
        <f t="shared" si="72"/>
        <v>1</v>
      </c>
      <c r="AB161" s="20"/>
      <c r="AC161">
        <f t="shared" si="73"/>
        <v>133</v>
      </c>
      <c r="AD161">
        <f t="shared" si="74"/>
        <v>2036</v>
      </c>
      <c r="AE161" s="12">
        <f t="shared" si="75"/>
        <v>49888</v>
      </c>
      <c r="AG161" s="19">
        <f t="shared" si="76"/>
        <v>0</v>
      </c>
      <c r="AH161" s="19">
        <f t="shared" si="77"/>
        <v>0</v>
      </c>
      <c r="AI161" s="19">
        <f t="shared" si="78"/>
        <v>0</v>
      </c>
      <c r="AK161" s="19">
        <f t="shared" si="79"/>
        <v>0</v>
      </c>
      <c r="AL161" s="19">
        <f ca="1">(IF(MOD(AC161,($AE$15*12)),0,$AG161-IFERROR(SUM(OFFSET(AL160,,,-$AE$15*12)),0))-SUM($AL$28:AL160)*(Z162=0))*(Z161=1)</f>
        <v>0</v>
      </c>
      <c r="AM161" s="19">
        <f t="shared" si="80"/>
        <v>0</v>
      </c>
      <c r="AN161" s="19">
        <f t="shared" si="81"/>
        <v>0</v>
      </c>
      <c r="AP161" s="19">
        <f t="shared" ca="1" si="55"/>
        <v>0</v>
      </c>
      <c r="AQ161" s="18">
        <f t="shared" si="56"/>
        <v>0.62487134736301941</v>
      </c>
    </row>
    <row r="162" spans="3:43" x14ac:dyDescent="0.25">
      <c r="C162">
        <f t="shared" si="57"/>
        <v>134</v>
      </c>
      <c r="D162">
        <f t="shared" si="58"/>
        <v>11</v>
      </c>
      <c r="E162" s="12">
        <f t="shared" si="59"/>
        <v>49919</v>
      </c>
      <c r="F162" s="12"/>
      <c r="G162" s="15">
        <f t="shared" si="60"/>
        <v>0</v>
      </c>
      <c r="H162" s="15">
        <f t="shared" si="61"/>
        <v>0</v>
      </c>
      <c r="I162" s="15"/>
      <c r="J162" s="16">
        <f t="shared" si="62"/>
        <v>0</v>
      </c>
      <c r="K162" s="16">
        <f t="shared" si="63"/>
        <v>0</v>
      </c>
      <c r="L162">
        <f t="shared" si="64"/>
        <v>0</v>
      </c>
      <c r="M162">
        <f t="shared" si="65"/>
        <v>0</v>
      </c>
      <c r="N162" s="16">
        <f t="shared" si="66"/>
        <v>0</v>
      </c>
      <c r="O162" s="16"/>
      <c r="P162" s="17">
        <f t="shared" si="67"/>
        <v>0</v>
      </c>
      <c r="Q162">
        <f>Q161/(1+Assumptions!$E$8/12)</f>
        <v>0.62266607169244192</v>
      </c>
      <c r="S162" s="17">
        <f t="shared" si="68"/>
        <v>0</v>
      </c>
      <c r="T162" s="17">
        <f>T161*(1+$K$24)*Z162</f>
        <v>0</v>
      </c>
      <c r="U162" s="17">
        <f t="shared" si="69"/>
        <v>0</v>
      </c>
      <c r="V162" s="17">
        <f t="shared" si="70"/>
        <v>0</v>
      </c>
      <c r="W162" s="17">
        <f t="shared" si="71"/>
        <v>0</v>
      </c>
      <c r="Y162">
        <f>(MONTH(E162)=MONTH(Assumptions!$E$6))*(YEAR(Assumptions!$E$6)=YEAR('Rent v Mortgage'!E162))</f>
        <v>0</v>
      </c>
      <c r="Z162">
        <f>--(SUM($Y$28:Y161)&lt;1)*AA162</f>
        <v>0</v>
      </c>
      <c r="AA162">
        <f t="shared" si="72"/>
        <v>1</v>
      </c>
      <c r="AB162" s="20"/>
      <c r="AC162">
        <f t="shared" si="73"/>
        <v>134</v>
      </c>
      <c r="AD162">
        <f t="shared" si="74"/>
        <v>2036</v>
      </c>
      <c r="AE162" s="12">
        <f t="shared" si="75"/>
        <v>49919</v>
      </c>
      <c r="AG162" s="19">
        <f t="shared" si="76"/>
        <v>0</v>
      </c>
      <c r="AH162" s="19">
        <f t="shared" si="77"/>
        <v>0</v>
      </c>
      <c r="AI162" s="19">
        <f t="shared" si="78"/>
        <v>0</v>
      </c>
      <c r="AK162" s="19">
        <f t="shared" si="79"/>
        <v>0</v>
      </c>
      <c r="AL162" s="19">
        <f ca="1">(IF(MOD(AC162,($AE$15*12)),0,$AG162-IFERROR(SUM(OFFSET(AL161,,,-$AE$15*12)),0))-SUM($AL$28:AL161)*(Z163=0))*(Z162=1)</f>
        <v>0</v>
      </c>
      <c r="AM162" s="19">
        <f t="shared" si="80"/>
        <v>0</v>
      </c>
      <c r="AN162" s="19">
        <f t="shared" si="81"/>
        <v>0</v>
      </c>
      <c r="AP162" s="19">
        <f t="shared" ca="1" si="55"/>
        <v>0</v>
      </c>
      <c r="AQ162" s="18">
        <f t="shared" si="56"/>
        <v>0.62266607169244192</v>
      </c>
    </row>
    <row r="163" spans="3:43" x14ac:dyDescent="0.25">
      <c r="C163">
        <f t="shared" si="57"/>
        <v>135</v>
      </c>
      <c r="D163">
        <f t="shared" si="58"/>
        <v>11</v>
      </c>
      <c r="E163" s="12">
        <f t="shared" si="59"/>
        <v>49949</v>
      </c>
      <c r="F163" s="12"/>
      <c r="G163" s="15">
        <f t="shared" si="60"/>
        <v>0</v>
      </c>
      <c r="H163" s="15">
        <f t="shared" si="61"/>
        <v>0</v>
      </c>
      <c r="I163" s="15"/>
      <c r="J163" s="16">
        <f t="shared" si="62"/>
        <v>0</v>
      </c>
      <c r="K163" s="16">
        <f t="shared" si="63"/>
        <v>0</v>
      </c>
      <c r="L163">
        <f t="shared" si="64"/>
        <v>0</v>
      </c>
      <c r="M163">
        <f t="shared" si="65"/>
        <v>0</v>
      </c>
      <c r="N163" s="16">
        <f t="shared" si="66"/>
        <v>0</v>
      </c>
      <c r="O163" s="16"/>
      <c r="P163" s="17">
        <f t="shared" si="67"/>
        <v>0</v>
      </c>
      <c r="Q163">
        <f>Q162/(1+Assumptions!$E$8/12)</f>
        <v>0.6204685788091594</v>
      </c>
      <c r="S163" s="17">
        <f t="shared" si="68"/>
        <v>0</v>
      </c>
      <c r="T163" s="17">
        <f>T162*(1+$K$24)*Z163</f>
        <v>0</v>
      </c>
      <c r="U163" s="17">
        <f t="shared" si="69"/>
        <v>0</v>
      </c>
      <c r="V163" s="17">
        <f t="shared" si="70"/>
        <v>0</v>
      </c>
      <c r="W163" s="17">
        <f t="shared" si="71"/>
        <v>0</v>
      </c>
      <c r="Y163">
        <f>(MONTH(E163)=MONTH(Assumptions!$E$6))*(YEAR(Assumptions!$E$6)=YEAR('Rent v Mortgage'!E163))</f>
        <v>0</v>
      </c>
      <c r="Z163">
        <f>--(SUM($Y$28:Y162)&lt;1)*AA163</f>
        <v>0</v>
      </c>
      <c r="AA163">
        <f t="shared" si="72"/>
        <v>1</v>
      </c>
      <c r="AB163" s="20"/>
      <c r="AC163">
        <f t="shared" si="73"/>
        <v>135</v>
      </c>
      <c r="AD163">
        <f t="shared" si="74"/>
        <v>2036</v>
      </c>
      <c r="AE163" s="12">
        <f t="shared" si="75"/>
        <v>49949</v>
      </c>
      <c r="AG163" s="19">
        <f t="shared" si="76"/>
        <v>0</v>
      </c>
      <c r="AH163" s="19">
        <f t="shared" si="77"/>
        <v>0</v>
      </c>
      <c r="AI163" s="19">
        <f t="shared" si="78"/>
        <v>0</v>
      </c>
      <c r="AK163" s="19">
        <f t="shared" si="79"/>
        <v>0</v>
      </c>
      <c r="AL163" s="19">
        <f ca="1">(IF(MOD(AC163,($AE$15*12)),0,$AG163-IFERROR(SUM(OFFSET(AL162,,,-$AE$15*12)),0))-SUM($AL$28:AL162)*(Z164=0))*(Z163=1)</f>
        <v>0</v>
      </c>
      <c r="AM163" s="19">
        <f t="shared" si="80"/>
        <v>0</v>
      </c>
      <c r="AN163" s="19">
        <f t="shared" si="81"/>
        <v>0</v>
      </c>
      <c r="AP163" s="19">
        <f t="shared" ca="1" si="55"/>
        <v>0</v>
      </c>
      <c r="AQ163" s="18">
        <f t="shared" si="56"/>
        <v>0.6204685788091594</v>
      </c>
    </row>
    <row r="164" spans="3:43" x14ac:dyDescent="0.25">
      <c r="C164">
        <f t="shared" si="57"/>
        <v>136</v>
      </c>
      <c r="D164">
        <f t="shared" si="58"/>
        <v>11</v>
      </c>
      <c r="E164" s="12">
        <f t="shared" si="59"/>
        <v>49980</v>
      </c>
      <c r="F164" s="12"/>
      <c r="G164" s="15">
        <f t="shared" si="60"/>
        <v>0</v>
      </c>
      <c r="H164" s="15">
        <f t="shared" si="61"/>
        <v>0</v>
      </c>
      <c r="I164" s="15"/>
      <c r="J164" s="16">
        <f t="shared" si="62"/>
        <v>0</v>
      </c>
      <c r="K164" s="16">
        <f t="shared" si="63"/>
        <v>0</v>
      </c>
      <c r="L164">
        <f t="shared" si="64"/>
        <v>0</v>
      </c>
      <c r="M164">
        <f t="shared" si="65"/>
        <v>0</v>
      </c>
      <c r="N164" s="16">
        <f t="shared" si="66"/>
        <v>0</v>
      </c>
      <c r="O164" s="16"/>
      <c r="P164" s="17">
        <f t="shared" si="67"/>
        <v>0</v>
      </c>
      <c r="Q164">
        <f>Q163/(1+Assumptions!$E$8/12)</f>
        <v>0.61827884124641164</v>
      </c>
      <c r="S164" s="17">
        <f t="shared" si="68"/>
        <v>0</v>
      </c>
      <c r="T164" s="17">
        <f>T163*(1+$K$24)*Z164</f>
        <v>0</v>
      </c>
      <c r="U164" s="17">
        <f t="shared" si="69"/>
        <v>0</v>
      </c>
      <c r="V164" s="17">
        <f t="shared" si="70"/>
        <v>0</v>
      </c>
      <c r="W164" s="17">
        <f t="shared" si="71"/>
        <v>0</v>
      </c>
      <c r="Y164">
        <f>(MONTH(E164)=MONTH(Assumptions!$E$6))*(YEAR(Assumptions!$E$6)=YEAR('Rent v Mortgage'!E164))</f>
        <v>0</v>
      </c>
      <c r="Z164">
        <f>--(SUM($Y$28:Y163)&lt;1)*AA164</f>
        <v>0</v>
      </c>
      <c r="AA164">
        <f t="shared" si="72"/>
        <v>1</v>
      </c>
      <c r="AB164" s="20"/>
      <c r="AC164">
        <f t="shared" si="73"/>
        <v>136</v>
      </c>
      <c r="AD164">
        <f t="shared" si="74"/>
        <v>2036</v>
      </c>
      <c r="AE164" s="12">
        <f t="shared" si="75"/>
        <v>49980</v>
      </c>
      <c r="AG164" s="19">
        <f t="shared" si="76"/>
        <v>0</v>
      </c>
      <c r="AH164" s="19">
        <f t="shared" si="77"/>
        <v>0</v>
      </c>
      <c r="AI164" s="19">
        <f t="shared" si="78"/>
        <v>0</v>
      </c>
      <c r="AK164" s="19">
        <f t="shared" si="79"/>
        <v>0</v>
      </c>
      <c r="AL164" s="19">
        <f ca="1">(IF(MOD(AC164,($AE$15*12)),0,$AG164-IFERROR(SUM(OFFSET(AL163,,,-$AE$15*12)),0))-SUM($AL$28:AL163)*(Z165=0))*(Z164=1)</f>
        <v>0</v>
      </c>
      <c r="AM164" s="19">
        <f t="shared" si="80"/>
        <v>0</v>
      </c>
      <c r="AN164" s="19">
        <f t="shared" si="81"/>
        <v>0</v>
      </c>
      <c r="AP164" s="19">
        <f t="shared" ca="1" si="55"/>
        <v>0</v>
      </c>
      <c r="AQ164" s="18">
        <f t="shared" si="56"/>
        <v>0.61827884124641164</v>
      </c>
    </row>
    <row r="165" spans="3:43" x14ac:dyDescent="0.25">
      <c r="C165">
        <f t="shared" si="57"/>
        <v>137</v>
      </c>
      <c r="D165">
        <f t="shared" si="58"/>
        <v>11</v>
      </c>
      <c r="E165" s="12">
        <f t="shared" si="59"/>
        <v>50010</v>
      </c>
      <c r="F165" s="12"/>
      <c r="G165" s="15">
        <f t="shared" si="60"/>
        <v>0</v>
      </c>
      <c r="H165" s="15">
        <f t="shared" si="61"/>
        <v>0</v>
      </c>
      <c r="I165" s="15"/>
      <c r="J165" s="16">
        <f t="shared" si="62"/>
        <v>0</v>
      </c>
      <c r="K165" s="16">
        <f t="shared" si="63"/>
        <v>0</v>
      </c>
      <c r="L165">
        <f t="shared" si="64"/>
        <v>0</v>
      </c>
      <c r="M165">
        <f t="shared" si="65"/>
        <v>0</v>
      </c>
      <c r="N165" s="16">
        <f t="shared" si="66"/>
        <v>0</v>
      </c>
      <c r="O165" s="16"/>
      <c r="P165" s="17">
        <f t="shared" si="67"/>
        <v>0</v>
      </c>
      <c r="Q165">
        <f>Q164/(1+Assumptions!$E$8/12)</f>
        <v>0.61609683163437312</v>
      </c>
      <c r="S165" s="17">
        <f t="shared" si="68"/>
        <v>0</v>
      </c>
      <c r="T165" s="17">
        <f>T164*(1+$K$24)*Z165</f>
        <v>0</v>
      </c>
      <c r="U165" s="17">
        <f t="shared" si="69"/>
        <v>0</v>
      </c>
      <c r="V165" s="17">
        <f t="shared" si="70"/>
        <v>0</v>
      </c>
      <c r="W165" s="17">
        <f t="shared" si="71"/>
        <v>0</v>
      </c>
      <c r="Y165">
        <f>(MONTH(E165)=MONTH(Assumptions!$E$6))*(YEAR(Assumptions!$E$6)=YEAR('Rent v Mortgage'!E165))</f>
        <v>0</v>
      </c>
      <c r="Z165">
        <f>--(SUM($Y$28:Y164)&lt;1)*AA165</f>
        <v>0</v>
      </c>
      <c r="AA165">
        <f t="shared" si="72"/>
        <v>1</v>
      </c>
      <c r="AB165" s="20"/>
      <c r="AC165">
        <f t="shared" si="73"/>
        <v>137</v>
      </c>
      <c r="AD165">
        <f t="shared" si="74"/>
        <v>2036</v>
      </c>
      <c r="AE165" s="12">
        <f t="shared" si="75"/>
        <v>50010</v>
      </c>
      <c r="AG165" s="19">
        <f t="shared" si="76"/>
        <v>0</v>
      </c>
      <c r="AH165" s="19">
        <f t="shared" si="77"/>
        <v>0</v>
      </c>
      <c r="AI165" s="19">
        <f t="shared" si="78"/>
        <v>0</v>
      </c>
      <c r="AK165" s="19">
        <f t="shared" si="79"/>
        <v>0</v>
      </c>
      <c r="AL165" s="19">
        <f ca="1">(IF(MOD(AC165,($AE$15*12)),0,$AG165-IFERROR(SUM(OFFSET(AL164,,,-$AE$15*12)),0))-SUM($AL$28:AL164)*(Z166=0))*(Z165=1)</f>
        <v>0</v>
      </c>
      <c r="AM165" s="19">
        <f t="shared" si="80"/>
        <v>0</v>
      </c>
      <c r="AN165" s="19">
        <f t="shared" si="81"/>
        <v>0</v>
      </c>
      <c r="AP165" s="19">
        <f t="shared" ca="1" si="55"/>
        <v>0</v>
      </c>
      <c r="AQ165" s="18">
        <f t="shared" si="56"/>
        <v>0.61609683163437312</v>
      </c>
    </row>
    <row r="166" spans="3:43" x14ac:dyDescent="0.25">
      <c r="C166">
        <f t="shared" si="57"/>
        <v>138</v>
      </c>
      <c r="D166">
        <f t="shared" si="58"/>
        <v>11</v>
      </c>
      <c r="E166" s="12">
        <f t="shared" si="59"/>
        <v>50041</v>
      </c>
      <c r="F166" s="12"/>
      <c r="G166" s="15">
        <f t="shared" si="60"/>
        <v>0</v>
      </c>
      <c r="H166" s="15">
        <f t="shared" si="61"/>
        <v>0</v>
      </c>
      <c r="I166" s="15"/>
      <c r="J166" s="16">
        <f t="shared" si="62"/>
        <v>0</v>
      </c>
      <c r="K166" s="16">
        <f t="shared" si="63"/>
        <v>0</v>
      </c>
      <c r="L166">
        <f t="shared" si="64"/>
        <v>0</v>
      </c>
      <c r="M166">
        <f t="shared" si="65"/>
        <v>0</v>
      </c>
      <c r="N166" s="16">
        <f t="shared" si="66"/>
        <v>0</v>
      </c>
      <c r="O166" s="16"/>
      <c r="P166" s="17">
        <f t="shared" si="67"/>
        <v>0</v>
      </c>
      <c r="Q166">
        <f>Q165/(1+Assumptions!$E$8/12)</f>
        <v>0.61392252269981118</v>
      </c>
      <c r="S166" s="17">
        <f t="shared" si="68"/>
        <v>0</v>
      </c>
      <c r="T166" s="17">
        <f>T165*(1+$K$24)*Z166</f>
        <v>0</v>
      </c>
      <c r="U166" s="17">
        <f t="shared" si="69"/>
        <v>0</v>
      </c>
      <c r="V166" s="17">
        <f t="shared" si="70"/>
        <v>0</v>
      </c>
      <c r="W166" s="17">
        <f t="shared" si="71"/>
        <v>0</v>
      </c>
      <c r="Y166">
        <f>(MONTH(E166)=MONTH(Assumptions!$E$6))*(YEAR(Assumptions!$E$6)=YEAR('Rent v Mortgage'!E166))</f>
        <v>0</v>
      </c>
      <c r="Z166">
        <f>--(SUM($Y$28:Y165)&lt;1)*AA166</f>
        <v>0</v>
      </c>
      <c r="AA166">
        <f t="shared" si="72"/>
        <v>1</v>
      </c>
      <c r="AB166" s="20"/>
      <c r="AC166">
        <f t="shared" si="73"/>
        <v>138</v>
      </c>
      <c r="AD166">
        <f t="shared" si="74"/>
        <v>2037</v>
      </c>
      <c r="AE166" s="12">
        <f t="shared" si="75"/>
        <v>50041</v>
      </c>
      <c r="AG166" s="19">
        <f t="shared" si="76"/>
        <v>0</v>
      </c>
      <c r="AH166" s="19">
        <f t="shared" si="77"/>
        <v>0</v>
      </c>
      <c r="AI166" s="19">
        <f t="shared" si="78"/>
        <v>0</v>
      </c>
      <c r="AK166" s="19">
        <f t="shared" si="79"/>
        <v>0</v>
      </c>
      <c r="AL166" s="19">
        <f ca="1">(IF(MOD(AC166,($AE$15*12)),0,$AG166-IFERROR(SUM(OFFSET(AL165,,,-$AE$15*12)),0))-SUM($AL$28:AL165)*(Z167=0))*(Z166=1)</f>
        <v>0</v>
      </c>
      <c r="AM166" s="19">
        <f t="shared" si="80"/>
        <v>0</v>
      </c>
      <c r="AN166" s="19">
        <f t="shared" si="81"/>
        <v>0</v>
      </c>
      <c r="AP166" s="19">
        <f t="shared" ca="1" si="55"/>
        <v>0</v>
      </c>
      <c r="AQ166" s="18">
        <f t="shared" si="56"/>
        <v>0.61392252269981118</v>
      </c>
    </row>
    <row r="167" spans="3:43" x14ac:dyDescent="0.25">
      <c r="C167">
        <f t="shared" si="57"/>
        <v>139</v>
      </c>
      <c r="D167">
        <f t="shared" si="58"/>
        <v>11</v>
      </c>
      <c r="E167" s="12">
        <f t="shared" si="59"/>
        <v>50072</v>
      </c>
      <c r="F167" s="12"/>
      <c r="G167" s="15">
        <f t="shared" si="60"/>
        <v>0</v>
      </c>
      <c r="H167" s="15">
        <f t="shared" si="61"/>
        <v>0</v>
      </c>
      <c r="I167" s="15"/>
      <c r="J167" s="16">
        <f t="shared" si="62"/>
        <v>0</v>
      </c>
      <c r="K167" s="16">
        <f t="shared" si="63"/>
        <v>0</v>
      </c>
      <c r="L167">
        <f t="shared" si="64"/>
        <v>0</v>
      </c>
      <c r="M167">
        <f t="shared" si="65"/>
        <v>0</v>
      </c>
      <c r="N167" s="16">
        <f t="shared" si="66"/>
        <v>0</v>
      </c>
      <c r="O167" s="16"/>
      <c r="P167" s="17">
        <f t="shared" si="67"/>
        <v>0</v>
      </c>
      <c r="Q167">
        <f>Q166/(1+Assumptions!$E$8/12)</f>
        <v>0.61175588726574492</v>
      </c>
      <c r="S167" s="17">
        <f t="shared" si="68"/>
        <v>0</v>
      </c>
      <c r="T167" s="17">
        <f>T166*(1+$K$24)*Z167</f>
        <v>0</v>
      </c>
      <c r="U167" s="17">
        <f t="shared" si="69"/>
        <v>0</v>
      </c>
      <c r="V167" s="17">
        <f t="shared" si="70"/>
        <v>0</v>
      </c>
      <c r="W167" s="17">
        <f t="shared" si="71"/>
        <v>0</v>
      </c>
      <c r="Y167">
        <f>(MONTH(E167)=MONTH(Assumptions!$E$6))*(YEAR(Assumptions!$E$6)=YEAR('Rent v Mortgage'!E167))</f>
        <v>0</v>
      </c>
      <c r="Z167">
        <f>--(SUM($Y$28:Y166)&lt;1)*AA167</f>
        <v>0</v>
      </c>
      <c r="AA167">
        <f t="shared" si="72"/>
        <v>1</v>
      </c>
      <c r="AB167" s="20"/>
      <c r="AC167">
        <f t="shared" si="73"/>
        <v>139</v>
      </c>
      <c r="AD167">
        <f t="shared" si="74"/>
        <v>2037</v>
      </c>
      <c r="AE167" s="12">
        <f t="shared" si="75"/>
        <v>50072</v>
      </c>
      <c r="AG167" s="19">
        <f t="shared" si="76"/>
        <v>0</v>
      </c>
      <c r="AH167" s="19">
        <f t="shared" si="77"/>
        <v>0</v>
      </c>
      <c r="AI167" s="19">
        <f t="shared" si="78"/>
        <v>0</v>
      </c>
      <c r="AK167" s="19">
        <f t="shared" si="79"/>
        <v>0</v>
      </c>
      <c r="AL167" s="19">
        <f ca="1">(IF(MOD(AC167,($AE$15*12)),0,$AG167-IFERROR(SUM(OFFSET(AL166,,,-$AE$15*12)),0))-SUM($AL$28:AL166)*(Z168=0))*(Z167=1)</f>
        <v>0</v>
      </c>
      <c r="AM167" s="19">
        <f t="shared" si="80"/>
        <v>0</v>
      </c>
      <c r="AN167" s="19">
        <f t="shared" si="81"/>
        <v>0</v>
      </c>
      <c r="AP167" s="19">
        <f t="shared" ca="1" si="55"/>
        <v>0</v>
      </c>
      <c r="AQ167" s="18">
        <f t="shared" si="56"/>
        <v>0.61175588726574492</v>
      </c>
    </row>
    <row r="168" spans="3:43" x14ac:dyDescent="0.25">
      <c r="C168">
        <f t="shared" si="57"/>
        <v>140</v>
      </c>
      <c r="D168">
        <f t="shared" si="58"/>
        <v>11</v>
      </c>
      <c r="E168" s="12">
        <f t="shared" si="59"/>
        <v>50100</v>
      </c>
      <c r="F168" s="12"/>
      <c r="G168" s="15">
        <f t="shared" si="60"/>
        <v>0</v>
      </c>
      <c r="H168" s="15">
        <f t="shared" si="61"/>
        <v>0</v>
      </c>
      <c r="I168" s="15"/>
      <c r="J168" s="16">
        <f t="shared" si="62"/>
        <v>0</v>
      </c>
      <c r="K168" s="16">
        <f t="shared" si="63"/>
        <v>0</v>
      </c>
      <c r="L168">
        <f t="shared" si="64"/>
        <v>0</v>
      </c>
      <c r="M168">
        <f t="shared" si="65"/>
        <v>0</v>
      </c>
      <c r="N168" s="16">
        <f t="shared" si="66"/>
        <v>0</v>
      </c>
      <c r="O168" s="16"/>
      <c r="P168" s="17">
        <f t="shared" si="67"/>
        <v>0</v>
      </c>
      <c r="Q168">
        <f>Q167/(1+Assumptions!$E$8/12)</f>
        <v>0.60959689825110552</v>
      </c>
      <c r="S168" s="17">
        <f t="shared" si="68"/>
        <v>0</v>
      </c>
      <c r="T168" s="17">
        <f>T167*(1+$K$24)*Z168</f>
        <v>0</v>
      </c>
      <c r="U168" s="17">
        <f t="shared" si="69"/>
        <v>0</v>
      </c>
      <c r="V168" s="17">
        <f t="shared" si="70"/>
        <v>0</v>
      </c>
      <c r="W168" s="17">
        <f t="shared" si="71"/>
        <v>0</v>
      </c>
      <c r="Y168">
        <f>(MONTH(E168)=MONTH(Assumptions!$E$6))*(YEAR(Assumptions!$E$6)=YEAR('Rent v Mortgage'!E168))</f>
        <v>0</v>
      </c>
      <c r="Z168">
        <f>--(SUM($Y$28:Y167)&lt;1)*AA168</f>
        <v>0</v>
      </c>
      <c r="AA168">
        <f t="shared" si="72"/>
        <v>1</v>
      </c>
      <c r="AB168" s="20"/>
      <c r="AC168">
        <f t="shared" si="73"/>
        <v>140</v>
      </c>
      <c r="AD168">
        <f t="shared" si="74"/>
        <v>2037</v>
      </c>
      <c r="AE168" s="12">
        <f t="shared" si="75"/>
        <v>50100</v>
      </c>
      <c r="AG168" s="19">
        <f t="shared" si="76"/>
        <v>0</v>
      </c>
      <c r="AH168" s="19">
        <f t="shared" si="77"/>
        <v>0</v>
      </c>
      <c r="AI168" s="19">
        <f t="shared" si="78"/>
        <v>0</v>
      </c>
      <c r="AK168" s="19">
        <f t="shared" si="79"/>
        <v>0</v>
      </c>
      <c r="AL168" s="19">
        <f ca="1">(IF(MOD(AC168,($AE$15*12)),0,$AG168-IFERROR(SUM(OFFSET(AL167,,,-$AE$15*12)),0))-SUM($AL$28:AL167)*(Z169=0))*(Z168=1)</f>
        <v>0</v>
      </c>
      <c r="AM168" s="19">
        <f t="shared" si="80"/>
        <v>0</v>
      </c>
      <c r="AN168" s="19">
        <f t="shared" si="81"/>
        <v>0</v>
      </c>
      <c r="AP168" s="19">
        <f t="shared" ca="1" si="55"/>
        <v>0</v>
      </c>
      <c r="AQ168" s="18">
        <f t="shared" si="56"/>
        <v>0.60959689825110552</v>
      </c>
    </row>
    <row r="169" spans="3:43" x14ac:dyDescent="0.25">
      <c r="C169">
        <f t="shared" si="57"/>
        <v>141</v>
      </c>
      <c r="D169">
        <f t="shared" si="58"/>
        <v>11</v>
      </c>
      <c r="E169" s="12">
        <f t="shared" si="59"/>
        <v>50131</v>
      </c>
      <c r="F169" s="12"/>
      <c r="G169" s="15">
        <f t="shared" si="60"/>
        <v>0</v>
      </c>
      <c r="H169" s="15">
        <f t="shared" si="61"/>
        <v>0</v>
      </c>
      <c r="I169" s="15"/>
      <c r="J169" s="16">
        <f t="shared" si="62"/>
        <v>0</v>
      </c>
      <c r="K169" s="16">
        <f t="shared" si="63"/>
        <v>0</v>
      </c>
      <c r="L169">
        <f t="shared" si="64"/>
        <v>0</v>
      </c>
      <c r="M169">
        <f t="shared" si="65"/>
        <v>0</v>
      </c>
      <c r="N169" s="16">
        <f t="shared" si="66"/>
        <v>0</v>
      </c>
      <c r="O169" s="16"/>
      <c r="P169" s="17">
        <f t="shared" si="67"/>
        <v>0</v>
      </c>
      <c r="Q169">
        <f>Q168/(1+Assumptions!$E$8/12)</f>
        <v>0.60744552867039781</v>
      </c>
      <c r="S169" s="17">
        <f t="shared" si="68"/>
        <v>0</v>
      </c>
      <c r="T169" s="17">
        <f>T168*(1+$K$24)*Z169</f>
        <v>0</v>
      </c>
      <c r="U169" s="17">
        <f t="shared" si="69"/>
        <v>0</v>
      </c>
      <c r="V169" s="17">
        <f t="shared" si="70"/>
        <v>0</v>
      </c>
      <c r="W169" s="17">
        <f t="shared" si="71"/>
        <v>0</v>
      </c>
      <c r="Y169">
        <f>(MONTH(E169)=MONTH(Assumptions!$E$6))*(YEAR(Assumptions!$E$6)=YEAR('Rent v Mortgage'!E169))</f>
        <v>0</v>
      </c>
      <c r="Z169">
        <f>--(SUM($Y$28:Y168)&lt;1)*AA169</f>
        <v>0</v>
      </c>
      <c r="AA169">
        <f t="shared" si="72"/>
        <v>1</v>
      </c>
      <c r="AB169" s="20"/>
      <c r="AC169">
        <f t="shared" si="73"/>
        <v>141</v>
      </c>
      <c r="AD169">
        <f t="shared" si="74"/>
        <v>2037</v>
      </c>
      <c r="AE169" s="12">
        <f t="shared" si="75"/>
        <v>50131</v>
      </c>
      <c r="AG169" s="19">
        <f t="shared" si="76"/>
        <v>0</v>
      </c>
      <c r="AH169" s="19">
        <f t="shared" si="77"/>
        <v>0</v>
      </c>
      <c r="AI169" s="19">
        <f t="shared" si="78"/>
        <v>0</v>
      </c>
      <c r="AK169" s="19">
        <f t="shared" si="79"/>
        <v>0</v>
      </c>
      <c r="AL169" s="19">
        <f ca="1">(IF(MOD(AC169,($AE$15*12)),0,$AG169-IFERROR(SUM(OFFSET(AL168,,,-$AE$15*12)),0))-SUM($AL$28:AL168)*(Z170=0))*(Z169=1)</f>
        <v>0</v>
      </c>
      <c r="AM169" s="19">
        <f t="shared" si="80"/>
        <v>0</v>
      </c>
      <c r="AN169" s="19">
        <f t="shared" si="81"/>
        <v>0</v>
      </c>
      <c r="AP169" s="19">
        <f t="shared" ca="1" si="55"/>
        <v>0</v>
      </c>
      <c r="AQ169" s="18">
        <f t="shared" si="56"/>
        <v>0.60744552867039781</v>
      </c>
    </row>
    <row r="170" spans="3:43" x14ac:dyDescent="0.25">
      <c r="C170">
        <f t="shared" si="57"/>
        <v>142</v>
      </c>
      <c r="D170">
        <f t="shared" si="58"/>
        <v>11</v>
      </c>
      <c r="E170" s="12">
        <f t="shared" si="59"/>
        <v>50161</v>
      </c>
      <c r="F170" s="12"/>
      <c r="G170" s="15">
        <f t="shared" si="60"/>
        <v>0</v>
      </c>
      <c r="H170" s="15">
        <f t="shared" si="61"/>
        <v>0</v>
      </c>
      <c r="I170" s="15"/>
      <c r="J170" s="16">
        <f t="shared" si="62"/>
        <v>0</v>
      </c>
      <c r="K170" s="16">
        <f t="shared" si="63"/>
        <v>0</v>
      </c>
      <c r="L170">
        <f t="shared" si="64"/>
        <v>0</v>
      </c>
      <c r="M170">
        <f t="shared" si="65"/>
        <v>0</v>
      </c>
      <c r="N170" s="16">
        <f t="shared" si="66"/>
        <v>0</v>
      </c>
      <c r="O170" s="16"/>
      <c r="P170" s="17">
        <f t="shared" si="67"/>
        <v>0</v>
      </c>
      <c r="Q170">
        <f>Q169/(1+Assumptions!$E$8/12)</f>
        <v>0.60530175163336286</v>
      </c>
      <c r="S170" s="17">
        <f t="shared" si="68"/>
        <v>0</v>
      </c>
      <c r="T170" s="17">
        <f>T169*(1+$K$24)*Z170</f>
        <v>0</v>
      </c>
      <c r="U170" s="17">
        <f t="shared" si="69"/>
        <v>0</v>
      </c>
      <c r="V170" s="17">
        <f t="shared" si="70"/>
        <v>0</v>
      </c>
      <c r="W170" s="17">
        <f t="shared" si="71"/>
        <v>0</v>
      </c>
      <c r="Y170">
        <f>(MONTH(E170)=MONTH(Assumptions!$E$6))*(YEAR(Assumptions!$E$6)=YEAR('Rent v Mortgage'!E170))</f>
        <v>0</v>
      </c>
      <c r="Z170">
        <f>--(SUM($Y$28:Y169)&lt;1)*AA170</f>
        <v>0</v>
      </c>
      <c r="AA170">
        <f t="shared" si="72"/>
        <v>1</v>
      </c>
      <c r="AB170" s="20"/>
      <c r="AC170">
        <f t="shared" si="73"/>
        <v>142</v>
      </c>
      <c r="AD170">
        <f t="shared" si="74"/>
        <v>2037</v>
      </c>
      <c r="AE170" s="12">
        <f t="shared" si="75"/>
        <v>50161</v>
      </c>
      <c r="AG170" s="19">
        <f t="shared" si="76"/>
        <v>0</v>
      </c>
      <c r="AH170" s="19">
        <f t="shared" si="77"/>
        <v>0</v>
      </c>
      <c r="AI170" s="19">
        <f t="shared" si="78"/>
        <v>0</v>
      </c>
      <c r="AK170" s="19">
        <f t="shared" si="79"/>
        <v>0</v>
      </c>
      <c r="AL170" s="19">
        <f ca="1">(IF(MOD(AC170,($AE$15*12)),0,$AG170-IFERROR(SUM(OFFSET(AL169,,,-$AE$15*12)),0))-SUM($AL$28:AL169)*(Z171=0))*(Z170=1)</f>
        <v>0</v>
      </c>
      <c r="AM170" s="19">
        <f t="shared" si="80"/>
        <v>0</v>
      </c>
      <c r="AN170" s="19">
        <f t="shared" si="81"/>
        <v>0</v>
      </c>
      <c r="AP170" s="19">
        <f t="shared" ca="1" si="55"/>
        <v>0</v>
      </c>
      <c r="AQ170" s="18">
        <f t="shared" si="56"/>
        <v>0.60530175163336286</v>
      </c>
    </row>
    <row r="171" spans="3:43" x14ac:dyDescent="0.25">
      <c r="C171">
        <f t="shared" si="57"/>
        <v>143</v>
      </c>
      <c r="D171">
        <f t="shared" si="58"/>
        <v>11</v>
      </c>
      <c r="E171" s="12">
        <f t="shared" si="59"/>
        <v>50192</v>
      </c>
      <c r="F171" s="12"/>
      <c r="G171" s="15">
        <f t="shared" si="60"/>
        <v>0</v>
      </c>
      <c r="H171" s="15">
        <f t="shared" si="61"/>
        <v>0</v>
      </c>
      <c r="I171" s="15"/>
      <c r="J171" s="16">
        <f t="shared" si="62"/>
        <v>0</v>
      </c>
      <c r="K171" s="16">
        <f t="shared" si="63"/>
        <v>0</v>
      </c>
      <c r="L171">
        <f t="shared" si="64"/>
        <v>0</v>
      </c>
      <c r="M171">
        <f t="shared" si="65"/>
        <v>0</v>
      </c>
      <c r="N171" s="16">
        <f t="shared" si="66"/>
        <v>0</v>
      </c>
      <c r="O171" s="16"/>
      <c r="P171" s="17">
        <f t="shared" si="67"/>
        <v>0</v>
      </c>
      <c r="Q171">
        <f>Q170/(1+Assumptions!$E$8/12)</f>
        <v>0.6031655403446422</v>
      </c>
      <c r="S171" s="17">
        <f t="shared" si="68"/>
        <v>0</v>
      </c>
      <c r="T171" s="17">
        <f>T170*(1+$K$24)*Z171</f>
        <v>0</v>
      </c>
      <c r="U171" s="17">
        <f t="shared" si="69"/>
        <v>0</v>
      </c>
      <c r="V171" s="17">
        <f t="shared" si="70"/>
        <v>0</v>
      </c>
      <c r="W171" s="17">
        <f t="shared" si="71"/>
        <v>0</v>
      </c>
      <c r="Y171">
        <f>(MONTH(E171)=MONTH(Assumptions!$E$6))*(YEAR(Assumptions!$E$6)=YEAR('Rent v Mortgage'!E171))</f>
        <v>0</v>
      </c>
      <c r="Z171">
        <f>--(SUM($Y$28:Y170)&lt;1)*AA171</f>
        <v>0</v>
      </c>
      <c r="AA171">
        <f t="shared" si="72"/>
        <v>1</v>
      </c>
      <c r="AB171" s="20"/>
      <c r="AC171">
        <f t="shared" si="73"/>
        <v>143</v>
      </c>
      <c r="AD171">
        <f t="shared" si="74"/>
        <v>2037</v>
      </c>
      <c r="AE171" s="12">
        <f t="shared" si="75"/>
        <v>50192</v>
      </c>
      <c r="AG171" s="19">
        <f t="shared" si="76"/>
        <v>0</v>
      </c>
      <c r="AH171" s="19">
        <f t="shared" si="77"/>
        <v>0</v>
      </c>
      <c r="AI171" s="19">
        <f t="shared" si="78"/>
        <v>0</v>
      </c>
      <c r="AK171" s="19">
        <f t="shared" si="79"/>
        <v>0</v>
      </c>
      <c r="AL171" s="19">
        <f ca="1">(IF(MOD(AC171,($AE$15*12)),0,$AG171-IFERROR(SUM(OFFSET(AL170,,,-$AE$15*12)),0))-SUM($AL$28:AL170)*(Z172=0))*(Z171=1)</f>
        <v>0</v>
      </c>
      <c r="AM171" s="19">
        <f t="shared" si="80"/>
        <v>0</v>
      </c>
      <c r="AN171" s="19">
        <f t="shared" si="81"/>
        <v>0</v>
      </c>
      <c r="AP171" s="19">
        <f t="shared" ca="1" si="55"/>
        <v>0</v>
      </c>
      <c r="AQ171" s="18">
        <f t="shared" si="56"/>
        <v>0.6031655403446422</v>
      </c>
    </row>
    <row r="172" spans="3:43" x14ac:dyDescent="0.25">
      <c r="C172">
        <f t="shared" si="57"/>
        <v>144</v>
      </c>
      <c r="D172">
        <f t="shared" si="58"/>
        <v>12</v>
      </c>
      <c r="E172" s="12">
        <f t="shared" si="59"/>
        <v>50222</v>
      </c>
      <c r="F172" s="12"/>
      <c r="G172" s="15">
        <f t="shared" si="60"/>
        <v>0</v>
      </c>
      <c r="H172" s="15">
        <f t="shared" si="61"/>
        <v>0</v>
      </c>
      <c r="I172" s="15"/>
      <c r="J172" s="16">
        <f t="shared" si="62"/>
        <v>0</v>
      </c>
      <c r="K172" s="16">
        <f t="shared" si="63"/>
        <v>0</v>
      </c>
      <c r="L172">
        <f t="shared" si="64"/>
        <v>0</v>
      </c>
      <c r="M172">
        <f t="shared" si="65"/>
        <v>0</v>
      </c>
      <c r="N172" s="16">
        <f t="shared" si="66"/>
        <v>0</v>
      </c>
      <c r="O172" s="16"/>
      <c r="P172" s="17">
        <f t="shared" si="67"/>
        <v>0</v>
      </c>
      <c r="Q172">
        <f>Q171/(1+Assumptions!$E$8/12)</f>
        <v>0.60103686810344248</v>
      </c>
      <c r="S172" s="17">
        <f t="shared" si="68"/>
        <v>0</v>
      </c>
      <c r="T172" s="17">
        <f>T171*(1+$K$24)*Z172</f>
        <v>0</v>
      </c>
      <c r="U172" s="17">
        <f t="shared" si="69"/>
        <v>0</v>
      </c>
      <c r="V172" s="17">
        <f t="shared" si="70"/>
        <v>0</v>
      </c>
      <c r="W172" s="17">
        <f t="shared" si="71"/>
        <v>0</v>
      </c>
      <c r="Y172">
        <f>(MONTH(E172)=MONTH(Assumptions!$E$6))*(YEAR(Assumptions!$E$6)=YEAR('Rent v Mortgage'!E172))</f>
        <v>0</v>
      </c>
      <c r="Z172">
        <f>--(SUM($Y$28:Y171)&lt;1)*AA172</f>
        <v>0</v>
      </c>
      <c r="AA172">
        <f t="shared" si="72"/>
        <v>1</v>
      </c>
      <c r="AB172" s="20"/>
      <c r="AC172">
        <f t="shared" si="73"/>
        <v>144</v>
      </c>
      <c r="AD172">
        <f t="shared" si="74"/>
        <v>2037</v>
      </c>
      <c r="AE172" s="12">
        <f t="shared" si="75"/>
        <v>50222</v>
      </c>
      <c r="AG172" s="19">
        <f t="shared" si="76"/>
        <v>0</v>
      </c>
      <c r="AH172" s="19">
        <f t="shared" si="77"/>
        <v>0</v>
      </c>
      <c r="AI172" s="19">
        <f t="shared" si="78"/>
        <v>0</v>
      </c>
      <c r="AK172" s="19">
        <f t="shared" si="79"/>
        <v>0</v>
      </c>
      <c r="AL172" s="19">
        <f ca="1">(IF(MOD(AC172,($AE$15*12)),0,$AG172-IFERROR(SUM(OFFSET(AL171,,,-$AE$15*12)),0))-SUM($AL$28:AL171)*(Z173=0))*(Z172=1)</f>
        <v>0</v>
      </c>
      <c r="AM172" s="19">
        <f t="shared" si="80"/>
        <v>0</v>
      </c>
      <c r="AN172" s="19">
        <f t="shared" si="81"/>
        <v>0</v>
      </c>
      <c r="AP172" s="19">
        <f t="shared" ca="1" si="55"/>
        <v>0</v>
      </c>
      <c r="AQ172" s="18">
        <f t="shared" si="56"/>
        <v>0.60103686810344248</v>
      </c>
    </row>
    <row r="173" spans="3:43" x14ac:dyDescent="0.25">
      <c r="C173">
        <f t="shared" si="57"/>
        <v>145</v>
      </c>
      <c r="D173">
        <f t="shared" si="58"/>
        <v>12</v>
      </c>
      <c r="E173" s="12">
        <f t="shared" si="59"/>
        <v>50253</v>
      </c>
      <c r="F173" s="12"/>
      <c r="G173" s="15">
        <f t="shared" si="60"/>
        <v>0</v>
      </c>
      <c r="H173" s="15">
        <f t="shared" si="61"/>
        <v>0</v>
      </c>
      <c r="I173" s="15"/>
      <c r="J173" s="16">
        <f t="shared" si="62"/>
        <v>0</v>
      </c>
      <c r="K173" s="16">
        <f t="shared" si="63"/>
        <v>0</v>
      </c>
      <c r="L173">
        <f t="shared" si="64"/>
        <v>0</v>
      </c>
      <c r="M173">
        <f t="shared" si="65"/>
        <v>0</v>
      </c>
      <c r="N173" s="16">
        <f t="shared" si="66"/>
        <v>0</v>
      </c>
      <c r="O173" s="16"/>
      <c r="P173" s="17">
        <f t="shared" si="67"/>
        <v>0</v>
      </c>
      <c r="Q173">
        <f>Q172/(1+Assumptions!$E$8/12)</f>
        <v>0.59891570830320195</v>
      </c>
      <c r="S173" s="17">
        <f t="shared" si="68"/>
        <v>0</v>
      </c>
      <c r="T173" s="17">
        <f>T172*(1+$K$24)*Z173</f>
        <v>0</v>
      </c>
      <c r="U173" s="17">
        <f t="shared" si="69"/>
        <v>0</v>
      </c>
      <c r="V173" s="17">
        <f t="shared" si="70"/>
        <v>0</v>
      </c>
      <c r="W173" s="17">
        <f t="shared" si="71"/>
        <v>0</v>
      </c>
      <c r="Y173">
        <f>(MONTH(E173)=MONTH(Assumptions!$E$6))*(YEAR(Assumptions!$E$6)=YEAR('Rent v Mortgage'!E173))</f>
        <v>0</v>
      </c>
      <c r="Z173">
        <f>--(SUM($Y$28:Y172)&lt;1)*AA173</f>
        <v>0</v>
      </c>
      <c r="AA173">
        <f t="shared" si="72"/>
        <v>1</v>
      </c>
      <c r="AB173" s="20"/>
      <c r="AC173">
        <f t="shared" si="73"/>
        <v>145</v>
      </c>
      <c r="AD173">
        <f t="shared" si="74"/>
        <v>2037</v>
      </c>
      <c r="AE173" s="12">
        <f t="shared" si="75"/>
        <v>50253</v>
      </c>
      <c r="AG173" s="19">
        <f t="shared" si="76"/>
        <v>0</v>
      </c>
      <c r="AH173" s="19">
        <f t="shared" si="77"/>
        <v>0</v>
      </c>
      <c r="AI173" s="19">
        <f t="shared" si="78"/>
        <v>0</v>
      </c>
      <c r="AK173" s="19">
        <f t="shared" si="79"/>
        <v>0</v>
      </c>
      <c r="AL173" s="19">
        <f ca="1">(IF(MOD(AC173,($AE$15*12)),0,$AG173-IFERROR(SUM(OFFSET(AL172,,,-$AE$15*12)),0))-SUM($AL$28:AL172)*(Z174=0))*(Z173=1)</f>
        <v>0</v>
      </c>
      <c r="AM173" s="19">
        <f t="shared" si="80"/>
        <v>0</v>
      </c>
      <c r="AN173" s="19">
        <f t="shared" si="81"/>
        <v>0</v>
      </c>
      <c r="AP173" s="19">
        <f t="shared" ca="1" si="55"/>
        <v>0</v>
      </c>
      <c r="AQ173" s="18">
        <f t="shared" si="56"/>
        <v>0.59891570830320195</v>
      </c>
    </row>
    <row r="174" spans="3:43" x14ac:dyDescent="0.25">
      <c r="C174">
        <f t="shared" si="57"/>
        <v>146</v>
      </c>
      <c r="D174">
        <f t="shared" si="58"/>
        <v>12</v>
      </c>
      <c r="E174" s="12">
        <f t="shared" si="59"/>
        <v>50284</v>
      </c>
      <c r="F174" s="12"/>
      <c r="G174" s="15">
        <f t="shared" si="60"/>
        <v>0</v>
      </c>
      <c r="H174" s="15">
        <f t="shared" si="61"/>
        <v>0</v>
      </c>
      <c r="I174" s="15"/>
      <c r="J174" s="16">
        <f t="shared" si="62"/>
        <v>0</v>
      </c>
      <c r="K174" s="16">
        <f t="shared" si="63"/>
        <v>0</v>
      </c>
      <c r="L174">
        <f t="shared" si="64"/>
        <v>0</v>
      </c>
      <c r="M174">
        <f t="shared" si="65"/>
        <v>0</v>
      </c>
      <c r="N174" s="16">
        <f t="shared" si="66"/>
        <v>0</v>
      </c>
      <c r="O174" s="16"/>
      <c r="P174" s="17">
        <f t="shared" si="67"/>
        <v>0</v>
      </c>
      <c r="Q174">
        <f>Q173/(1+Assumptions!$E$8/12)</f>
        <v>0.5968020344312579</v>
      </c>
      <c r="S174" s="17">
        <f t="shared" si="68"/>
        <v>0</v>
      </c>
      <c r="T174" s="17">
        <f>T173*(1+$K$24)*Z174</f>
        <v>0</v>
      </c>
      <c r="U174" s="17">
        <f t="shared" si="69"/>
        <v>0</v>
      </c>
      <c r="V174" s="17">
        <f t="shared" si="70"/>
        <v>0</v>
      </c>
      <c r="W174" s="17">
        <f t="shared" si="71"/>
        <v>0</v>
      </c>
      <c r="Y174">
        <f>(MONTH(E174)=MONTH(Assumptions!$E$6))*(YEAR(Assumptions!$E$6)=YEAR('Rent v Mortgage'!E174))</f>
        <v>0</v>
      </c>
      <c r="Z174">
        <f>--(SUM($Y$28:Y173)&lt;1)*AA174</f>
        <v>0</v>
      </c>
      <c r="AA174">
        <f t="shared" si="72"/>
        <v>1</v>
      </c>
      <c r="AB174" s="20"/>
      <c r="AC174">
        <f t="shared" si="73"/>
        <v>146</v>
      </c>
      <c r="AD174">
        <f t="shared" si="74"/>
        <v>2037</v>
      </c>
      <c r="AE174" s="12">
        <f t="shared" si="75"/>
        <v>50284</v>
      </c>
      <c r="AG174" s="19">
        <f t="shared" si="76"/>
        <v>0</v>
      </c>
      <c r="AH174" s="19">
        <f t="shared" si="77"/>
        <v>0</v>
      </c>
      <c r="AI174" s="19">
        <f t="shared" si="78"/>
        <v>0</v>
      </c>
      <c r="AK174" s="19">
        <f t="shared" si="79"/>
        <v>0</v>
      </c>
      <c r="AL174" s="19">
        <f ca="1">(IF(MOD(AC174,($AE$15*12)),0,$AG174-IFERROR(SUM(OFFSET(AL173,,,-$AE$15*12)),0))-SUM($AL$28:AL173)*(Z175=0))*(Z174=1)</f>
        <v>0</v>
      </c>
      <c r="AM174" s="19">
        <f t="shared" si="80"/>
        <v>0</v>
      </c>
      <c r="AN174" s="19">
        <f t="shared" si="81"/>
        <v>0</v>
      </c>
      <c r="AP174" s="19">
        <f t="shared" ca="1" si="55"/>
        <v>0</v>
      </c>
      <c r="AQ174" s="18">
        <f t="shared" si="56"/>
        <v>0.5968020344312579</v>
      </c>
    </row>
    <row r="175" spans="3:43" x14ac:dyDescent="0.25">
      <c r="C175">
        <f t="shared" si="57"/>
        <v>147</v>
      </c>
      <c r="D175">
        <f t="shared" si="58"/>
        <v>12</v>
      </c>
      <c r="E175" s="12">
        <f t="shared" si="59"/>
        <v>50314</v>
      </c>
      <c r="F175" s="12"/>
      <c r="G175" s="15">
        <f t="shared" si="60"/>
        <v>0</v>
      </c>
      <c r="H175" s="15">
        <f t="shared" si="61"/>
        <v>0</v>
      </c>
      <c r="I175" s="15"/>
      <c r="J175" s="16">
        <f t="shared" si="62"/>
        <v>0</v>
      </c>
      <c r="K175" s="16">
        <f t="shared" si="63"/>
        <v>0</v>
      </c>
      <c r="L175">
        <f t="shared" si="64"/>
        <v>0</v>
      </c>
      <c r="M175">
        <f t="shared" si="65"/>
        <v>0</v>
      </c>
      <c r="N175" s="16">
        <f t="shared" si="66"/>
        <v>0</v>
      </c>
      <c r="O175" s="16"/>
      <c r="P175" s="17">
        <f t="shared" si="67"/>
        <v>0</v>
      </c>
      <c r="Q175">
        <f>Q174/(1+Assumptions!$E$8/12)</f>
        <v>0.59469582006851518</v>
      </c>
      <c r="S175" s="17">
        <f t="shared" si="68"/>
        <v>0</v>
      </c>
      <c r="T175" s="17">
        <f>T174*(1+$K$24)*Z175</f>
        <v>0</v>
      </c>
      <c r="U175" s="17">
        <f t="shared" si="69"/>
        <v>0</v>
      </c>
      <c r="V175" s="17">
        <f t="shared" si="70"/>
        <v>0</v>
      </c>
      <c r="W175" s="17">
        <f t="shared" si="71"/>
        <v>0</v>
      </c>
      <c r="Y175">
        <f>(MONTH(E175)=MONTH(Assumptions!$E$6))*(YEAR(Assumptions!$E$6)=YEAR('Rent v Mortgage'!E175))</f>
        <v>0</v>
      </c>
      <c r="Z175">
        <f>--(SUM($Y$28:Y174)&lt;1)*AA175</f>
        <v>0</v>
      </c>
      <c r="AA175">
        <f t="shared" si="72"/>
        <v>1</v>
      </c>
      <c r="AB175" s="20"/>
      <c r="AC175">
        <f t="shared" si="73"/>
        <v>147</v>
      </c>
      <c r="AD175">
        <f t="shared" si="74"/>
        <v>2037</v>
      </c>
      <c r="AE175" s="12">
        <f t="shared" si="75"/>
        <v>50314</v>
      </c>
      <c r="AG175" s="19">
        <f t="shared" si="76"/>
        <v>0</v>
      </c>
      <c r="AH175" s="19">
        <f t="shared" si="77"/>
        <v>0</v>
      </c>
      <c r="AI175" s="19">
        <f t="shared" si="78"/>
        <v>0</v>
      </c>
      <c r="AK175" s="19">
        <f t="shared" si="79"/>
        <v>0</v>
      </c>
      <c r="AL175" s="19">
        <f ca="1">(IF(MOD(AC175,($AE$15*12)),0,$AG175-IFERROR(SUM(OFFSET(AL174,,,-$AE$15*12)),0))-SUM($AL$28:AL174)*(Z176=0))*(Z175=1)</f>
        <v>0</v>
      </c>
      <c r="AM175" s="19">
        <f t="shared" si="80"/>
        <v>0</v>
      </c>
      <c r="AN175" s="19">
        <f t="shared" si="81"/>
        <v>0</v>
      </c>
      <c r="AP175" s="19">
        <f t="shared" ca="1" si="55"/>
        <v>0</v>
      </c>
      <c r="AQ175" s="18">
        <f t="shared" si="56"/>
        <v>0.59469582006851518</v>
      </c>
    </row>
    <row r="176" spans="3:43" x14ac:dyDescent="0.25">
      <c r="C176">
        <f t="shared" si="57"/>
        <v>148</v>
      </c>
      <c r="D176">
        <f t="shared" si="58"/>
        <v>12</v>
      </c>
      <c r="E176" s="12">
        <f t="shared" si="59"/>
        <v>50345</v>
      </c>
      <c r="F176" s="12"/>
      <c r="G176" s="15">
        <f t="shared" si="60"/>
        <v>0</v>
      </c>
      <c r="H176" s="15">
        <f t="shared" si="61"/>
        <v>0</v>
      </c>
      <c r="I176" s="15"/>
      <c r="J176" s="16">
        <f t="shared" si="62"/>
        <v>0</v>
      </c>
      <c r="K176" s="16">
        <f t="shared" si="63"/>
        <v>0</v>
      </c>
      <c r="L176">
        <f t="shared" si="64"/>
        <v>0</v>
      </c>
      <c r="M176">
        <f t="shared" si="65"/>
        <v>0</v>
      </c>
      <c r="N176" s="16">
        <f t="shared" si="66"/>
        <v>0</v>
      </c>
      <c r="O176" s="16"/>
      <c r="P176" s="17">
        <f t="shared" si="67"/>
        <v>0</v>
      </c>
      <c r="Q176">
        <f>Q175/(1+Assumptions!$E$8/12)</f>
        <v>0.59259703888911619</v>
      </c>
      <c r="S176" s="17">
        <f t="shared" si="68"/>
        <v>0</v>
      </c>
      <c r="T176" s="17">
        <f>T175*(1+$K$24)*Z176</f>
        <v>0</v>
      </c>
      <c r="U176" s="17">
        <f t="shared" si="69"/>
        <v>0</v>
      </c>
      <c r="V176" s="17">
        <f t="shared" si="70"/>
        <v>0</v>
      </c>
      <c r="W176" s="17">
        <f t="shared" si="71"/>
        <v>0</v>
      </c>
      <c r="Y176">
        <f>(MONTH(E176)=MONTH(Assumptions!$E$6))*(YEAR(Assumptions!$E$6)=YEAR('Rent v Mortgage'!E176))</f>
        <v>0</v>
      </c>
      <c r="Z176">
        <f>--(SUM($Y$28:Y175)&lt;1)*AA176</f>
        <v>0</v>
      </c>
      <c r="AA176">
        <f t="shared" si="72"/>
        <v>1</v>
      </c>
      <c r="AB176" s="20"/>
      <c r="AC176">
        <f t="shared" si="73"/>
        <v>148</v>
      </c>
      <c r="AD176">
        <f t="shared" si="74"/>
        <v>2037</v>
      </c>
      <c r="AE176" s="12">
        <f t="shared" si="75"/>
        <v>50345</v>
      </c>
      <c r="AG176" s="19">
        <f t="shared" si="76"/>
        <v>0</v>
      </c>
      <c r="AH176" s="19">
        <f t="shared" si="77"/>
        <v>0</v>
      </c>
      <c r="AI176" s="19">
        <f t="shared" si="78"/>
        <v>0</v>
      </c>
      <c r="AK176" s="19">
        <f t="shared" si="79"/>
        <v>0</v>
      </c>
      <c r="AL176" s="19">
        <f ca="1">(IF(MOD(AC176,($AE$15*12)),0,$AG176-IFERROR(SUM(OFFSET(AL175,,,-$AE$15*12)),0))-SUM($AL$28:AL175)*(Z177=0))*(Z176=1)</f>
        <v>0</v>
      </c>
      <c r="AM176" s="19">
        <f t="shared" si="80"/>
        <v>0</v>
      </c>
      <c r="AN176" s="19">
        <f t="shared" si="81"/>
        <v>0</v>
      </c>
      <c r="AP176" s="19">
        <f t="shared" ca="1" si="55"/>
        <v>0</v>
      </c>
      <c r="AQ176" s="18">
        <f t="shared" si="56"/>
        <v>0.59259703888911619</v>
      </c>
    </row>
    <row r="177" spans="3:43" x14ac:dyDescent="0.25">
      <c r="C177">
        <f t="shared" si="57"/>
        <v>149</v>
      </c>
      <c r="D177">
        <f t="shared" si="58"/>
        <v>12</v>
      </c>
      <c r="E177" s="12">
        <f t="shared" si="59"/>
        <v>50375</v>
      </c>
      <c r="F177" s="12"/>
      <c r="G177" s="15">
        <f t="shared" si="60"/>
        <v>0</v>
      </c>
      <c r="H177" s="15">
        <f t="shared" si="61"/>
        <v>0</v>
      </c>
      <c r="I177" s="15"/>
      <c r="J177" s="16">
        <f t="shared" si="62"/>
        <v>0</v>
      </c>
      <c r="K177" s="16">
        <f t="shared" si="63"/>
        <v>0</v>
      </c>
      <c r="L177">
        <f t="shared" si="64"/>
        <v>0</v>
      </c>
      <c r="M177">
        <f t="shared" si="65"/>
        <v>0</v>
      </c>
      <c r="N177" s="16">
        <f t="shared" si="66"/>
        <v>0</v>
      </c>
      <c r="O177" s="16"/>
      <c r="P177" s="17">
        <f t="shared" si="67"/>
        <v>0</v>
      </c>
      <c r="Q177">
        <f>Q176/(1+Assumptions!$E$8/12)</f>
        <v>0.59050566466011156</v>
      </c>
      <c r="S177" s="17">
        <f t="shared" si="68"/>
        <v>0</v>
      </c>
      <c r="T177" s="17">
        <f>T176*(1+$K$24)*Z177</f>
        <v>0</v>
      </c>
      <c r="U177" s="17">
        <f t="shared" si="69"/>
        <v>0</v>
      </c>
      <c r="V177" s="17">
        <f t="shared" si="70"/>
        <v>0</v>
      </c>
      <c r="W177" s="17">
        <f t="shared" si="71"/>
        <v>0</v>
      </c>
      <c r="Y177">
        <f>(MONTH(E177)=MONTH(Assumptions!$E$6))*(YEAR(Assumptions!$E$6)=YEAR('Rent v Mortgage'!E177))</f>
        <v>0</v>
      </c>
      <c r="Z177">
        <f>--(SUM($Y$28:Y176)&lt;1)*AA177</f>
        <v>0</v>
      </c>
      <c r="AA177">
        <f t="shared" si="72"/>
        <v>1</v>
      </c>
      <c r="AB177" s="20"/>
      <c r="AC177">
        <f t="shared" si="73"/>
        <v>149</v>
      </c>
      <c r="AD177">
        <f t="shared" si="74"/>
        <v>2037</v>
      </c>
      <c r="AE177" s="12">
        <f t="shared" si="75"/>
        <v>50375</v>
      </c>
      <c r="AG177" s="19">
        <f t="shared" si="76"/>
        <v>0</v>
      </c>
      <c r="AH177" s="19">
        <f t="shared" si="77"/>
        <v>0</v>
      </c>
      <c r="AI177" s="19">
        <f t="shared" si="78"/>
        <v>0</v>
      </c>
      <c r="AK177" s="19">
        <f t="shared" si="79"/>
        <v>0</v>
      </c>
      <c r="AL177" s="19">
        <f ca="1">(IF(MOD(AC177,($AE$15*12)),0,$AG177-IFERROR(SUM(OFFSET(AL176,,,-$AE$15*12)),0))-SUM($AL$28:AL176)*(Z178=0))*(Z177=1)</f>
        <v>0</v>
      </c>
      <c r="AM177" s="19">
        <f t="shared" si="80"/>
        <v>0</v>
      </c>
      <c r="AN177" s="19">
        <f t="shared" si="81"/>
        <v>0</v>
      </c>
      <c r="AP177" s="19">
        <f t="shared" ca="1" si="55"/>
        <v>0</v>
      </c>
      <c r="AQ177" s="18">
        <f t="shared" si="56"/>
        <v>0.59050566466011156</v>
      </c>
    </row>
    <row r="178" spans="3:43" x14ac:dyDescent="0.25">
      <c r="C178">
        <f t="shared" si="57"/>
        <v>150</v>
      </c>
      <c r="D178">
        <f t="shared" si="58"/>
        <v>12</v>
      </c>
      <c r="E178" s="12">
        <f t="shared" si="59"/>
        <v>50406</v>
      </c>
      <c r="F178" s="12"/>
      <c r="G178" s="15">
        <f t="shared" si="60"/>
        <v>0</v>
      </c>
      <c r="H178" s="15">
        <f t="shared" si="61"/>
        <v>0</v>
      </c>
      <c r="I178" s="15"/>
      <c r="J178" s="16">
        <f t="shared" si="62"/>
        <v>0</v>
      </c>
      <c r="K178" s="16">
        <f t="shared" si="63"/>
        <v>0</v>
      </c>
      <c r="L178">
        <f t="shared" si="64"/>
        <v>0</v>
      </c>
      <c r="M178">
        <f t="shared" si="65"/>
        <v>0</v>
      </c>
      <c r="N178" s="16">
        <f t="shared" si="66"/>
        <v>0</v>
      </c>
      <c r="O178" s="16"/>
      <c r="P178" s="17">
        <f t="shared" si="67"/>
        <v>0</v>
      </c>
      <c r="Q178">
        <f>Q177/(1+Assumptions!$E$8/12)</f>
        <v>0.58842167124113254</v>
      </c>
      <c r="S178" s="17">
        <f t="shared" si="68"/>
        <v>0</v>
      </c>
      <c r="T178" s="17">
        <f>T177*(1+$K$24)*Z178</f>
        <v>0</v>
      </c>
      <c r="U178" s="17">
        <f t="shared" si="69"/>
        <v>0</v>
      </c>
      <c r="V178" s="17">
        <f t="shared" si="70"/>
        <v>0</v>
      </c>
      <c r="W178" s="17">
        <f t="shared" si="71"/>
        <v>0</v>
      </c>
      <c r="Y178">
        <f>(MONTH(E178)=MONTH(Assumptions!$E$6))*(YEAR(Assumptions!$E$6)=YEAR('Rent v Mortgage'!E178))</f>
        <v>0</v>
      </c>
      <c r="Z178">
        <f>--(SUM($Y$28:Y177)&lt;1)*AA178</f>
        <v>0</v>
      </c>
      <c r="AA178">
        <f t="shared" si="72"/>
        <v>1</v>
      </c>
      <c r="AB178" s="20"/>
      <c r="AC178">
        <f t="shared" si="73"/>
        <v>150</v>
      </c>
      <c r="AD178">
        <f t="shared" si="74"/>
        <v>2038</v>
      </c>
      <c r="AE178" s="12">
        <f t="shared" si="75"/>
        <v>50406</v>
      </c>
      <c r="AG178" s="19">
        <f t="shared" si="76"/>
        <v>0</v>
      </c>
      <c r="AH178" s="19">
        <f t="shared" si="77"/>
        <v>0</v>
      </c>
      <c r="AI178" s="19">
        <f t="shared" si="78"/>
        <v>0</v>
      </c>
      <c r="AK178" s="19">
        <f t="shared" si="79"/>
        <v>0</v>
      </c>
      <c r="AL178" s="19">
        <f ca="1">(IF(MOD(AC178,($AE$15*12)),0,$AG178-IFERROR(SUM(OFFSET(AL177,,,-$AE$15*12)),0))-SUM($AL$28:AL177)*(Z179=0))*(Z178=1)</f>
        <v>0</v>
      </c>
      <c r="AM178" s="19">
        <f t="shared" si="80"/>
        <v>0</v>
      </c>
      <c r="AN178" s="19">
        <f t="shared" si="81"/>
        <v>0</v>
      </c>
      <c r="AP178" s="19">
        <f t="shared" ca="1" si="55"/>
        <v>0</v>
      </c>
      <c r="AQ178" s="18">
        <f t="shared" si="56"/>
        <v>0.58842167124113254</v>
      </c>
    </row>
    <row r="179" spans="3:43" x14ac:dyDescent="0.25">
      <c r="C179">
        <f t="shared" si="57"/>
        <v>151</v>
      </c>
      <c r="D179">
        <f t="shared" si="58"/>
        <v>12</v>
      </c>
      <c r="E179" s="12">
        <f t="shared" si="59"/>
        <v>50437</v>
      </c>
      <c r="F179" s="12"/>
      <c r="G179" s="15">
        <f t="shared" si="60"/>
        <v>0</v>
      </c>
      <c r="H179" s="15">
        <f t="shared" si="61"/>
        <v>0</v>
      </c>
      <c r="I179" s="15"/>
      <c r="J179" s="16">
        <f t="shared" si="62"/>
        <v>0</v>
      </c>
      <c r="K179" s="16">
        <f t="shared" si="63"/>
        <v>0</v>
      </c>
      <c r="L179">
        <f t="shared" si="64"/>
        <v>0</v>
      </c>
      <c r="M179">
        <f t="shared" si="65"/>
        <v>0</v>
      </c>
      <c r="N179" s="16">
        <f t="shared" si="66"/>
        <v>0</v>
      </c>
      <c r="O179" s="16"/>
      <c r="P179" s="17">
        <f t="shared" si="67"/>
        <v>0</v>
      </c>
      <c r="Q179">
        <f>Q178/(1+Assumptions!$E$8/12)</f>
        <v>0.5863450325840639</v>
      </c>
      <c r="S179" s="17">
        <f t="shared" si="68"/>
        <v>0</v>
      </c>
      <c r="T179" s="17">
        <f>T178*(1+$K$24)*Z179</f>
        <v>0</v>
      </c>
      <c r="U179" s="17">
        <f t="shared" si="69"/>
        <v>0</v>
      </c>
      <c r="V179" s="17">
        <f t="shared" si="70"/>
        <v>0</v>
      </c>
      <c r="W179" s="17">
        <f t="shared" si="71"/>
        <v>0</v>
      </c>
      <c r="Y179">
        <f>(MONTH(E179)=MONTH(Assumptions!$E$6))*(YEAR(Assumptions!$E$6)=YEAR('Rent v Mortgage'!E179))</f>
        <v>0</v>
      </c>
      <c r="Z179">
        <f>--(SUM($Y$28:Y178)&lt;1)*AA179</f>
        <v>0</v>
      </c>
      <c r="AA179">
        <f t="shared" si="72"/>
        <v>1</v>
      </c>
      <c r="AB179" s="20"/>
      <c r="AC179">
        <f t="shared" si="73"/>
        <v>151</v>
      </c>
      <c r="AD179">
        <f t="shared" si="74"/>
        <v>2038</v>
      </c>
      <c r="AE179" s="12">
        <f t="shared" si="75"/>
        <v>50437</v>
      </c>
      <c r="AG179" s="19">
        <f t="shared" si="76"/>
        <v>0</v>
      </c>
      <c r="AH179" s="19">
        <f t="shared" si="77"/>
        <v>0</v>
      </c>
      <c r="AI179" s="19">
        <f t="shared" si="78"/>
        <v>0</v>
      </c>
      <c r="AK179" s="19">
        <f t="shared" si="79"/>
        <v>0</v>
      </c>
      <c r="AL179" s="19">
        <f ca="1">(IF(MOD(AC179,($AE$15*12)),0,$AG179-IFERROR(SUM(OFFSET(AL178,,,-$AE$15*12)),0))-SUM($AL$28:AL178)*(Z180=0))*(Z179=1)</f>
        <v>0</v>
      </c>
      <c r="AM179" s="19">
        <f t="shared" si="80"/>
        <v>0</v>
      </c>
      <c r="AN179" s="19">
        <f t="shared" si="81"/>
        <v>0</v>
      </c>
      <c r="AP179" s="19">
        <f t="shared" ca="1" si="55"/>
        <v>0</v>
      </c>
      <c r="AQ179" s="18">
        <f t="shared" si="56"/>
        <v>0.5863450325840639</v>
      </c>
    </row>
    <row r="180" spans="3:43" x14ac:dyDescent="0.25">
      <c r="C180">
        <f t="shared" si="57"/>
        <v>152</v>
      </c>
      <c r="D180">
        <f t="shared" si="58"/>
        <v>12</v>
      </c>
      <c r="E180" s="12">
        <f t="shared" si="59"/>
        <v>50465</v>
      </c>
      <c r="F180" s="12"/>
      <c r="G180" s="15">
        <f t="shared" si="60"/>
        <v>0</v>
      </c>
      <c r="H180" s="15">
        <f t="shared" si="61"/>
        <v>0</v>
      </c>
      <c r="I180" s="15"/>
      <c r="J180" s="16">
        <f t="shared" si="62"/>
        <v>0</v>
      </c>
      <c r="K180" s="16">
        <f t="shared" si="63"/>
        <v>0</v>
      </c>
      <c r="L180">
        <f t="shared" si="64"/>
        <v>0</v>
      </c>
      <c r="M180">
        <f t="shared" si="65"/>
        <v>0</v>
      </c>
      <c r="N180" s="16">
        <f t="shared" si="66"/>
        <v>0</v>
      </c>
      <c r="O180" s="16"/>
      <c r="P180" s="17">
        <f t="shared" si="67"/>
        <v>0</v>
      </c>
      <c r="Q180">
        <f>Q179/(1+Assumptions!$E$8/12)</f>
        <v>0.58427572273271877</v>
      </c>
      <c r="S180" s="17">
        <f t="shared" si="68"/>
        <v>0</v>
      </c>
      <c r="T180" s="17">
        <f>T179*(1+$K$24)*Z180</f>
        <v>0</v>
      </c>
      <c r="U180" s="17">
        <f t="shared" si="69"/>
        <v>0</v>
      </c>
      <c r="V180" s="17">
        <f t="shared" si="70"/>
        <v>0</v>
      </c>
      <c r="W180" s="17">
        <f t="shared" si="71"/>
        <v>0</v>
      </c>
      <c r="Y180">
        <f>(MONTH(E180)=MONTH(Assumptions!$E$6))*(YEAR(Assumptions!$E$6)=YEAR('Rent v Mortgage'!E180))</f>
        <v>0</v>
      </c>
      <c r="Z180">
        <f>--(SUM($Y$28:Y179)&lt;1)*AA180</f>
        <v>0</v>
      </c>
      <c r="AA180">
        <f t="shared" si="72"/>
        <v>1</v>
      </c>
      <c r="AB180" s="20"/>
      <c r="AC180">
        <f t="shared" si="73"/>
        <v>152</v>
      </c>
      <c r="AD180">
        <f t="shared" si="74"/>
        <v>2038</v>
      </c>
      <c r="AE180" s="12">
        <f t="shared" si="75"/>
        <v>50465</v>
      </c>
      <c r="AG180" s="19">
        <f t="shared" si="76"/>
        <v>0</v>
      </c>
      <c r="AH180" s="19">
        <f t="shared" si="77"/>
        <v>0</v>
      </c>
      <c r="AI180" s="19">
        <f t="shared" si="78"/>
        <v>0</v>
      </c>
      <c r="AK180" s="19">
        <f t="shared" si="79"/>
        <v>0</v>
      </c>
      <c r="AL180" s="19">
        <f ca="1">(IF(MOD(AC180,($AE$15*12)),0,$AG180-IFERROR(SUM(OFFSET(AL179,,,-$AE$15*12)),0))-SUM($AL$28:AL179)*(Z181=0))*(Z180=1)</f>
        <v>0</v>
      </c>
      <c r="AM180" s="19">
        <f t="shared" si="80"/>
        <v>0</v>
      </c>
      <c r="AN180" s="19">
        <f t="shared" si="81"/>
        <v>0</v>
      </c>
      <c r="AP180" s="19">
        <f t="shared" ca="1" si="55"/>
        <v>0</v>
      </c>
      <c r="AQ180" s="18">
        <f t="shared" si="56"/>
        <v>0.58427572273271877</v>
      </c>
    </row>
    <row r="181" spans="3:43" x14ac:dyDescent="0.25">
      <c r="C181">
        <f t="shared" si="57"/>
        <v>153</v>
      </c>
      <c r="D181">
        <f t="shared" si="58"/>
        <v>12</v>
      </c>
      <c r="E181" s="12">
        <f t="shared" si="59"/>
        <v>50496</v>
      </c>
      <c r="F181" s="12"/>
      <c r="G181" s="15">
        <f t="shared" si="60"/>
        <v>0</v>
      </c>
      <c r="H181" s="15">
        <f t="shared" si="61"/>
        <v>0</v>
      </c>
      <c r="I181" s="15"/>
      <c r="J181" s="16">
        <f t="shared" si="62"/>
        <v>0</v>
      </c>
      <c r="K181" s="16">
        <f t="shared" si="63"/>
        <v>0</v>
      </c>
      <c r="L181">
        <f t="shared" si="64"/>
        <v>0</v>
      </c>
      <c r="M181">
        <f t="shared" si="65"/>
        <v>0</v>
      </c>
      <c r="N181" s="16">
        <f t="shared" si="66"/>
        <v>0</v>
      </c>
      <c r="O181" s="16"/>
      <c r="P181" s="17">
        <f t="shared" si="67"/>
        <v>0</v>
      </c>
      <c r="Q181">
        <f>Q180/(1+Assumptions!$E$8/12)</f>
        <v>0.58221371582251402</v>
      </c>
      <c r="S181" s="17">
        <f t="shared" si="68"/>
        <v>0</v>
      </c>
      <c r="T181" s="17">
        <f>T180*(1+$K$24)*Z181</f>
        <v>0</v>
      </c>
      <c r="U181" s="17">
        <f t="shared" si="69"/>
        <v>0</v>
      </c>
      <c r="V181" s="17">
        <f t="shared" si="70"/>
        <v>0</v>
      </c>
      <c r="W181" s="17">
        <f t="shared" si="71"/>
        <v>0</v>
      </c>
      <c r="Y181">
        <f>(MONTH(E181)=MONTH(Assumptions!$E$6))*(YEAR(Assumptions!$E$6)=YEAR('Rent v Mortgage'!E181))</f>
        <v>0</v>
      </c>
      <c r="Z181">
        <f>--(SUM($Y$28:Y180)&lt;1)*AA181</f>
        <v>0</v>
      </c>
      <c r="AA181">
        <f t="shared" si="72"/>
        <v>1</v>
      </c>
      <c r="AB181" s="20"/>
      <c r="AC181">
        <f t="shared" si="73"/>
        <v>153</v>
      </c>
      <c r="AD181">
        <f t="shared" si="74"/>
        <v>2038</v>
      </c>
      <c r="AE181" s="12">
        <f t="shared" si="75"/>
        <v>50496</v>
      </c>
      <c r="AG181" s="19">
        <f t="shared" si="76"/>
        <v>0</v>
      </c>
      <c r="AH181" s="19">
        <f t="shared" si="77"/>
        <v>0</v>
      </c>
      <c r="AI181" s="19">
        <f t="shared" si="78"/>
        <v>0</v>
      </c>
      <c r="AK181" s="19">
        <f t="shared" si="79"/>
        <v>0</v>
      </c>
      <c r="AL181" s="19">
        <f ca="1">(IF(MOD(AC181,($AE$15*12)),0,$AG181-IFERROR(SUM(OFFSET(AL180,,,-$AE$15*12)),0))-SUM($AL$28:AL180)*(Z182=0))*(Z181=1)</f>
        <v>0</v>
      </c>
      <c r="AM181" s="19">
        <f t="shared" si="80"/>
        <v>0</v>
      </c>
      <c r="AN181" s="19">
        <f t="shared" si="81"/>
        <v>0</v>
      </c>
      <c r="AP181" s="19">
        <f t="shared" ca="1" si="55"/>
        <v>0</v>
      </c>
      <c r="AQ181" s="18">
        <f t="shared" si="56"/>
        <v>0.58221371582251402</v>
      </c>
    </row>
    <row r="182" spans="3:43" x14ac:dyDescent="0.25">
      <c r="C182">
        <f t="shared" si="57"/>
        <v>154</v>
      </c>
      <c r="D182">
        <f t="shared" si="58"/>
        <v>12</v>
      </c>
      <c r="E182" s="12">
        <f t="shared" si="59"/>
        <v>50526</v>
      </c>
      <c r="F182" s="12"/>
      <c r="G182" s="15">
        <f t="shared" si="60"/>
        <v>0</v>
      </c>
      <c r="H182" s="15">
        <f t="shared" si="61"/>
        <v>0</v>
      </c>
      <c r="I182" s="15"/>
      <c r="J182" s="16">
        <f t="shared" si="62"/>
        <v>0</v>
      </c>
      <c r="K182" s="16">
        <f t="shared" si="63"/>
        <v>0</v>
      </c>
      <c r="L182">
        <f t="shared" si="64"/>
        <v>0</v>
      </c>
      <c r="M182">
        <f t="shared" si="65"/>
        <v>0</v>
      </c>
      <c r="N182" s="16">
        <f t="shared" si="66"/>
        <v>0</v>
      </c>
      <c r="O182" s="16"/>
      <c r="P182" s="17">
        <f t="shared" si="67"/>
        <v>0</v>
      </c>
      <c r="Q182">
        <f>Q181/(1+Assumptions!$E$8/12)</f>
        <v>0.58015898608014682</v>
      </c>
      <c r="S182" s="17">
        <f t="shared" si="68"/>
        <v>0</v>
      </c>
      <c r="T182" s="17">
        <f>T181*(1+$K$24)*Z182</f>
        <v>0</v>
      </c>
      <c r="U182" s="17">
        <f t="shared" si="69"/>
        <v>0</v>
      </c>
      <c r="V182" s="17">
        <f t="shared" si="70"/>
        <v>0</v>
      </c>
      <c r="W182" s="17">
        <f t="shared" si="71"/>
        <v>0</v>
      </c>
      <c r="Y182">
        <f>(MONTH(E182)=MONTH(Assumptions!$E$6))*(YEAR(Assumptions!$E$6)=YEAR('Rent v Mortgage'!E182))</f>
        <v>0</v>
      </c>
      <c r="Z182">
        <f>--(SUM($Y$28:Y181)&lt;1)*AA182</f>
        <v>0</v>
      </c>
      <c r="AA182">
        <f t="shared" si="72"/>
        <v>1</v>
      </c>
      <c r="AB182" s="20"/>
      <c r="AC182">
        <f t="shared" si="73"/>
        <v>154</v>
      </c>
      <c r="AD182">
        <f t="shared" si="74"/>
        <v>2038</v>
      </c>
      <c r="AE182" s="12">
        <f t="shared" si="75"/>
        <v>50526</v>
      </c>
      <c r="AG182" s="19">
        <f t="shared" si="76"/>
        <v>0</v>
      </c>
      <c r="AH182" s="19">
        <f t="shared" si="77"/>
        <v>0</v>
      </c>
      <c r="AI182" s="19">
        <f t="shared" si="78"/>
        <v>0</v>
      </c>
      <c r="AK182" s="19">
        <f t="shared" si="79"/>
        <v>0</v>
      </c>
      <c r="AL182" s="19">
        <f ca="1">(IF(MOD(AC182,($AE$15*12)),0,$AG182-IFERROR(SUM(OFFSET(AL181,,,-$AE$15*12)),0))-SUM($AL$28:AL181)*(Z183=0))*(Z182=1)</f>
        <v>0</v>
      </c>
      <c r="AM182" s="19">
        <f t="shared" si="80"/>
        <v>0</v>
      </c>
      <c r="AN182" s="19">
        <f t="shared" si="81"/>
        <v>0</v>
      </c>
      <c r="AP182" s="19">
        <f t="shared" ca="1" si="55"/>
        <v>0</v>
      </c>
      <c r="AQ182" s="18">
        <f t="shared" si="56"/>
        <v>0.58015898608014682</v>
      </c>
    </row>
    <row r="183" spans="3:43" x14ac:dyDescent="0.25">
      <c r="C183">
        <f t="shared" si="57"/>
        <v>155</v>
      </c>
      <c r="D183">
        <f t="shared" si="58"/>
        <v>12</v>
      </c>
      <c r="E183" s="12">
        <f t="shared" si="59"/>
        <v>50557</v>
      </c>
      <c r="F183" s="12"/>
      <c r="G183" s="15">
        <f t="shared" si="60"/>
        <v>0</v>
      </c>
      <c r="H183" s="15">
        <f t="shared" si="61"/>
        <v>0</v>
      </c>
      <c r="I183" s="15"/>
      <c r="J183" s="16">
        <f t="shared" si="62"/>
        <v>0</v>
      </c>
      <c r="K183" s="16">
        <f t="shared" si="63"/>
        <v>0</v>
      </c>
      <c r="L183">
        <f t="shared" si="64"/>
        <v>0</v>
      </c>
      <c r="M183">
        <f t="shared" si="65"/>
        <v>0</v>
      </c>
      <c r="N183" s="16">
        <f t="shared" si="66"/>
        <v>0</v>
      </c>
      <c r="O183" s="16"/>
      <c r="P183" s="17">
        <f t="shared" si="67"/>
        <v>0</v>
      </c>
      <c r="Q183">
        <f>Q182/(1+Assumptions!$E$8/12)</f>
        <v>0.5781115078232727</v>
      </c>
      <c r="S183" s="17">
        <f t="shared" si="68"/>
        <v>0</v>
      </c>
      <c r="T183" s="17">
        <f>T182*(1+$K$24)*Z183</f>
        <v>0</v>
      </c>
      <c r="U183" s="17">
        <f t="shared" si="69"/>
        <v>0</v>
      </c>
      <c r="V183" s="17">
        <f t="shared" si="70"/>
        <v>0</v>
      </c>
      <c r="W183" s="17">
        <f t="shared" si="71"/>
        <v>0</v>
      </c>
      <c r="Y183">
        <f>(MONTH(E183)=MONTH(Assumptions!$E$6))*(YEAR(Assumptions!$E$6)=YEAR('Rent v Mortgage'!E183))</f>
        <v>0</v>
      </c>
      <c r="Z183">
        <f>--(SUM($Y$28:Y182)&lt;1)*AA183</f>
        <v>0</v>
      </c>
      <c r="AA183">
        <f t="shared" si="72"/>
        <v>1</v>
      </c>
      <c r="AB183" s="20"/>
      <c r="AC183">
        <f t="shared" si="73"/>
        <v>155</v>
      </c>
      <c r="AD183">
        <f t="shared" si="74"/>
        <v>2038</v>
      </c>
      <c r="AE183" s="12">
        <f t="shared" si="75"/>
        <v>50557</v>
      </c>
      <c r="AG183" s="19">
        <f t="shared" si="76"/>
        <v>0</v>
      </c>
      <c r="AH183" s="19">
        <f t="shared" si="77"/>
        <v>0</v>
      </c>
      <c r="AI183" s="19">
        <f t="shared" si="78"/>
        <v>0</v>
      </c>
      <c r="AK183" s="19">
        <f t="shared" si="79"/>
        <v>0</v>
      </c>
      <c r="AL183" s="19">
        <f ca="1">(IF(MOD(AC183,($AE$15*12)),0,$AG183-IFERROR(SUM(OFFSET(AL182,,,-$AE$15*12)),0))-SUM($AL$28:AL182)*(Z184=0))*(Z183=1)</f>
        <v>0</v>
      </c>
      <c r="AM183" s="19">
        <f t="shared" si="80"/>
        <v>0</v>
      </c>
      <c r="AN183" s="19">
        <f t="shared" si="81"/>
        <v>0</v>
      </c>
      <c r="AP183" s="19">
        <f t="shared" ca="1" si="55"/>
        <v>0</v>
      </c>
      <c r="AQ183" s="18">
        <f t="shared" si="56"/>
        <v>0.5781115078232727</v>
      </c>
    </row>
    <row r="184" spans="3:43" x14ac:dyDescent="0.25">
      <c r="C184">
        <f t="shared" si="57"/>
        <v>156</v>
      </c>
      <c r="D184">
        <f t="shared" si="58"/>
        <v>13</v>
      </c>
      <c r="E184" s="12">
        <f t="shared" si="59"/>
        <v>50587</v>
      </c>
      <c r="F184" s="12"/>
      <c r="G184" s="15">
        <f t="shared" si="60"/>
        <v>0</v>
      </c>
      <c r="H184" s="15">
        <f t="shared" si="61"/>
        <v>0</v>
      </c>
      <c r="I184" s="15"/>
      <c r="J184" s="16">
        <f t="shared" si="62"/>
        <v>0</v>
      </c>
      <c r="K184" s="16">
        <f t="shared" si="63"/>
        <v>0</v>
      </c>
      <c r="L184">
        <f t="shared" si="64"/>
        <v>0</v>
      </c>
      <c r="M184">
        <f t="shared" si="65"/>
        <v>0</v>
      </c>
      <c r="N184" s="16">
        <f t="shared" si="66"/>
        <v>0</v>
      </c>
      <c r="O184" s="16"/>
      <c r="P184" s="17">
        <f t="shared" si="67"/>
        <v>0</v>
      </c>
      <c r="Q184">
        <f>Q183/(1+Assumptions!$E$8/12)</f>
        <v>0.57607125546018445</v>
      </c>
      <c r="S184" s="17">
        <f t="shared" si="68"/>
        <v>0</v>
      </c>
      <c r="T184" s="17">
        <f>T183*(1+$K$24)*Z184</f>
        <v>0</v>
      </c>
      <c r="U184" s="17">
        <f t="shared" si="69"/>
        <v>0</v>
      </c>
      <c r="V184" s="17">
        <f t="shared" si="70"/>
        <v>0</v>
      </c>
      <c r="W184" s="17">
        <f t="shared" si="71"/>
        <v>0</v>
      </c>
      <c r="Y184">
        <f>(MONTH(E184)=MONTH(Assumptions!$E$6))*(YEAR(Assumptions!$E$6)=YEAR('Rent v Mortgage'!E184))</f>
        <v>0</v>
      </c>
      <c r="Z184">
        <f>--(SUM($Y$28:Y183)&lt;1)*AA184</f>
        <v>0</v>
      </c>
      <c r="AA184">
        <f t="shared" si="72"/>
        <v>1</v>
      </c>
      <c r="AB184" s="20"/>
      <c r="AC184">
        <f t="shared" si="73"/>
        <v>156</v>
      </c>
      <c r="AD184">
        <f t="shared" si="74"/>
        <v>2038</v>
      </c>
      <c r="AE184" s="12">
        <f t="shared" si="75"/>
        <v>50587</v>
      </c>
      <c r="AG184" s="19">
        <f t="shared" si="76"/>
        <v>0</v>
      </c>
      <c r="AH184" s="19">
        <f t="shared" si="77"/>
        <v>0</v>
      </c>
      <c r="AI184" s="19">
        <f t="shared" si="78"/>
        <v>0</v>
      </c>
      <c r="AK184" s="19">
        <f t="shared" si="79"/>
        <v>0</v>
      </c>
      <c r="AL184" s="19">
        <f ca="1">(IF(MOD(AC184,($AE$15*12)),0,$AG184-IFERROR(SUM(OFFSET(AL183,,,-$AE$15*12)),0))-SUM($AL$28:AL183)*(Z185=0))*(Z184=1)</f>
        <v>0</v>
      </c>
      <c r="AM184" s="19">
        <f t="shared" si="80"/>
        <v>0</v>
      </c>
      <c r="AN184" s="19">
        <f t="shared" si="81"/>
        <v>0</v>
      </c>
      <c r="AP184" s="19">
        <f t="shared" ca="1" si="55"/>
        <v>0</v>
      </c>
      <c r="AQ184" s="18">
        <f t="shared" si="56"/>
        <v>0.57607125546018445</v>
      </c>
    </row>
    <row r="185" spans="3:43" x14ac:dyDescent="0.25">
      <c r="C185">
        <f t="shared" si="57"/>
        <v>157</v>
      </c>
      <c r="D185">
        <f t="shared" si="58"/>
        <v>13</v>
      </c>
      <c r="E185" s="12">
        <f t="shared" si="59"/>
        <v>50618</v>
      </c>
      <c r="F185" s="12"/>
      <c r="G185" s="15">
        <f t="shared" si="60"/>
        <v>0</v>
      </c>
      <c r="H185" s="15">
        <f t="shared" si="61"/>
        <v>0</v>
      </c>
      <c r="I185" s="15"/>
      <c r="J185" s="16">
        <f t="shared" si="62"/>
        <v>0</v>
      </c>
      <c r="K185" s="16">
        <f t="shared" si="63"/>
        <v>0</v>
      </c>
      <c r="L185">
        <f t="shared" si="64"/>
        <v>0</v>
      </c>
      <c r="M185">
        <f t="shared" si="65"/>
        <v>0</v>
      </c>
      <c r="N185" s="16">
        <f t="shared" si="66"/>
        <v>0</v>
      </c>
      <c r="O185" s="16"/>
      <c r="P185" s="17">
        <f t="shared" si="67"/>
        <v>0</v>
      </c>
      <c r="Q185">
        <f>Q184/(1+Assumptions!$E$8/12)</f>
        <v>0.57403820348949242</v>
      </c>
      <c r="S185" s="17">
        <f t="shared" si="68"/>
        <v>0</v>
      </c>
      <c r="T185" s="17">
        <f>T184*(1+$K$24)*Z185</f>
        <v>0</v>
      </c>
      <c r="U185" s="17">
        <f t="shared" si="69"/>
        <v>0</v>
      </c>
      <c r="V185" s="17">
        <f t="shared" si="70"/>
        <v>0</v>
      </c>
      <c r="W185" s="17">
        <f t="shared" si="71"/>
        <v>0</v>
      </c>
      <c r="Y185">
        <f>(MONTH(E185)=MONTH(Assumptions!$E$6))*(YEAR(Assumptions!$E$6)=YEAR('Rent v Mortgage'!E185))</f>
        <v>0</v>
      </c>
      <c r="Z185">
        <f>--(SUM($Y$28:Y184)&lt;1)*AA185</f>
        <v>0</v>
      </c>
      <c r="AA185">
        <f t="shared" si="72"/>
        <v>1</v>
      </c>
      <c r="AB185" s="20"/>
      <c r="AC185">
        <f t="shared" si="73"/>
        <v>157</v>
      </c>
      <c r="AD185">
        <f t="shared" si="74"/>
        <v>2038</v>
      </c>
      <c r="AE185" s="12">
        <f t="shared" si="75"/>
        <v>50618</v>
      </c>
      <c r="AG185" s="19">
        <f t="shared" si="76"/>
        <v>0</v>
      </c>
      <c r="AH185" s="19">
        <f t="shared" si="77"/>
        <v>0</v>
      </c>
      <c r="AI185" s="19">
        <f t="shared" si="78"/>
        <v>0</v>
      </c>
      <c r="AK185" s="19">
        <f t="shared" si="79"/>
        <v>0</v>
      </c>
      <c r="AL185" s="19">
        <f ca="1">(IF(MOD(AC185,($AE$15*12)),0,$AG185-IFERROR(SUM(OFFSET(AL184,,,-$AE$15*12)),0))-SUM($AL$28:AL184)*(Z186=0))*(Z185=1)</f>
        <v>0</v>
      </c>
      <c r="AM185" s="19">
        <f t="shared" si="80"/>
        <v>0</v>
      </c>
      <c r="AN185" s="19">
        <f t="shared" si="81"/>
        <v>0</v>
      </c>
      <c r="AP185" s="19">
        <f t="shared" ca="1" si="55"/>
        <v>0</v>
      </c>
      <c r="AQ185" s="18">
        <f t="shared" si="56"/>
        <v>0.57403820348949242</v>
      </c>
    </row>
    <row r="186" spans="3:43" x14ac:dyDescent="0.25">
      <c r="C186">
        <f t="shared" si="57"/>
        <v>158</v>
      </c>
      <c r="D186">
        <f t="shared" si="58"/>
        <v>13</v>
      </c>
      <c r="E186" s="12">
        <f t="shared" si="59"/>
        <v>50649</v>
      </c>
      <c r="F186" s="12"/>
      <c r="G186" s="15">
        <f t="shared" si="60"/>
        <v>0</v>
      </c>
      <c r="H186" s="15">
        <f t="shared" si="61"/>
        <v>0</v>
      </c>
      <c r="I186" s="15"/>
      <c r="J186" s="16">
        <f t="shared" si="62"/>
        <v>0</v>
      </c>
      <c r="K186" s="16">
        <f t="shared" si="63"/>
        <v>0</v>
      </c>
      <c r="L186">
        <f t="shared" si="64"/>
        <v>0</v>
      </c>
      <c r="M186">
        <f t="shared" si="65"/>
        <v>0</v>
      </c>
      <c r="N186" s="16">
        <f t="shared" si="66"/>
        <v>0</v>
      </c>
      <c r="O186" s="16"/>
      <c r="P186" s="17">
        <f t="shared" si="67"/>
        <v>0</v>
      </c>
      <c r="Q186">
        <f>Q185/(1+Assumptions!$E$8/12)</f>
        <v>0.57201232649980549</v>
      </c>
      <c r="S186" s="17">
        <f t="shared" si="68"/>
        <v>0</v>
      </c>
      <c r="T186" s="17">
        <f>T185*(1+$K$24)*Z186</f>
        <v>0</v>
      </c>
      <c r="U186" s="17">
        <f t="shared" si="69"/>
        <v>0</v>
      </c>
      <c r="V186" s="17">
        <f t="shared" si="70"/>
        <v>0</v>
      </c>
      <c r="W186" s="17">
        <f t="shared" si="71"/>
        <v>0</v>
      </c>
      <c r="Y186">
        <f>(MONTH(E186)=MONTH(Assumptions!$E$6))*(YEAR(Assumptions!$E$6)=YEAR('Rent v Mortgage'!E186))</f>
        <v>0</v>
      </c>
      <c r="Z186">
        <f>--(SUM($Y$28:Y185)&lt;1)*AA186</f>
        <v>0</v>
      </c>
      <c r="AA186">
        <f t="shared" si="72"/>
        <v>1</v>
      </c>
      <c r="AB186" s="20"/>
      <c r="AC186">
        <f t="shared" si="73"/>
        <v>158</v>
      </c>
      <c r="AD186">
        <f t="shared" si="74"/>
        <v>2038</v>
      </c>
      <c r="AE186" s="12">
        <f t="shared" si="75"/>
        <v>50649</v>
      </c>
      <c r="AG186" s="19">
        <f t="shared" si="76"/>
        <v>0</v>
      </c>
      <c r="AH186" s="19">
        <f t="shared" si="77"/>
        <v>0</v>
      </c>
      <c r="AI186" s="19">
        <f t="shared" si="78"/>
        <v>0</v>
      </c>
      <c r="AK186" s="19">
        <f t="shared" si="79"/>
        <v>0</v>
      </c>
      <c r="AL186" s="19">
        <f ca="1">(IF(MOD(AC186,($AE$15*12)),0,$AG186-IFERROR(SUM(OFFSET(AL185,,,-$AE$15*12)),0))-SUM($AL$28:AL185)*(Z187=0))*(Z186=1)</f>
        <v>0</v>
      </c>
      <c r="AM186" s="19">
        <f t="shared" si="80"/>
        <v>0</v>
      </c>
      <c r="AN186" s="19">
        <f t="shared" si="81"/>
        <v>0</v>
      </c>
      <c r="AP186" s="19">
        <f t="shared" ca="1" si="55"/>
        <v>0</v>
      </c>
      <c r="AQ186" s="18">
        <f t="shared" si="56"/>
        <v>0.57201232649980549</v>
      </c>
    </row>
    <row r="187" spans="3:43" x14ac:dyDescent="0.25">
      <c r="C187">
        <f t="shared" si="57"/>
        <v>159</v>
      </c>
      <c r="D187">
        <f t="shared" si="58"/>
        <v>13</v>
      </c>
      <c r="E187" s="12">
        <f t="shared" si="59"/>
        <v>50679</v>
      </c>
      <c r="F187" s="12"/>
      <c r="G187" s="15">
        <f t="shared" si="60"/>
        <v>0</v>
      </c>
      <c r="H187" s="15">
        <f t="shared" si="61"/>
        <v>0</v>
      </c>
      <c r="I187" s="15"/>
      <c r="J187" s="16">
        <f t="shared" si="62"/>
        <v>0</v>
      </c>
      <c r="K187" s="16">
        <f t="shared" si="63"/>
        <v>0</v>
      </c>
      <c r="L187">
        <f t="shared" si="64"/>
        <v>0</v>
      </c>
      <c r="M187">
        <f t="shared" si="65"/>
        <v>0</v>
      </c>
      <c r="N187" s="16">
        <f t="shared" si="66"/>
        <v>0</v>
      </c>
      <c r="O187" s="16"/>
      <c r="P187" s="17">
        <f t="shared" si="67"/>
        <v>0</v>
      </c>
      <c r="Q187">
        <f>Q186/(1+Assumptions!$E$8/12)</f>
        <v>0.56999359916941372</v>
      </c>
      <c r="S187" s="17">
        <f t="shared" si="68"/>
        <v>0</v>
      </c>
      <c r="T187" s="17">
        <f>T186*(1+$K$24)*Z187</f>
        <v>0</v>
      </c>
      <c r="U187" s="17">
        <f t="shared" si="69"/>
        <v>0</v>
      </c>
      <c r="V187" s="17">
        <f t="shared" si="70"/>
        <v>0</v>
      </c>
      <c r="W187" s="17">
        <f t="shared" si="71"/>
        <v>0</v>
      </c>
      <c r="Y187">
        <f>(MONTH(E187)=MONTH(Assumptions!$E$6))*(YEAR(Assumptions!$E$6)=YEAR('Rent v Mortgage'!E187))</f>
        <v>0</v>
      </c>
      <c r="Z187">
        <f>--(SUM($Y$28:Y186)&lt;1)*AA187</f>
        <v>0</v>
      </c>
      <c r="AA187">
        <f t="shared" si="72"/>
        <v>1</v>
      </c>
      <c r="AB187" s="20"/>
      <c r="AC187">
        <f t="shared" si="73"/>
        <v>159</v>
      </c>
      <c r="AD187">
        <f t="shared" si="74"/>
        <v>2038</v>
      </c>
      <c r="AE187" s="12">
        <f t="shared" si="75"/>
        <v>50679</v>
      </c>
      <c r="AG187" s="19">
        <f t="shared" si="76"/>
        <v>0</v>
      </c>
      <c r="AH187" s="19">
        <f t="shared" si="77"/>
        <v>0</v>
      </c>
      <c r="AI187" s="19">
        <f t="shared" si="78"/>
        <v>0</v>
      </c>
      <c r="AK187" s="19">
        <f t="shared" si="79"/>
        <v>0</v>
      </c>
      <c r="AL187" s="19">
        <f ca="1">(IF(MOD(AC187,($AE$15*12)),0,$AG187-IFERROR(SUM(OFFSET(AL186,,,-$AE$15*12)),0))-SUM($AL$28:AL186)*(Z188=0))*(Z187=1)</f>
        <v>0</v>
      </c>
      <c r="AM187" s="19">
        <f t="shared" si="80"/>
        <v>0</v>
      </c>
      <c r="AN187" s="19">
        <f t="shared" si="81"/>
        <v>0</v>
      </c>
      <c r="AP187" s="19">
        <f t="shared" ca="1" si="55"/>
        <v>0</v>
      </c>
      <c r="AQ187" s="18">
        <f t="shared" si="56"/>
        <v>0.56999359916941372</v>
      </c>
    </row>
    <row r="188" spans="3:43" x14ac:dyDescent="0.25">
      <c r="C188">
        <f t="shared" si="57"/>
        <v>160</v>
      </c>
      <c r="D188">
        <f t="shared" si="58"/>
        <v>13</v>
      </c>
      <c r="E188" s="12">
        <f t="shared" si="59"/>
        <v>50710</v>
      </c>
      <c r="F188" s="12"/>
      <c r="G188" s="15">
        <f t="shared" si="60"/>
        <v>0</v>
      </c>
      <c r="H188" s="15">
        <f t="shared" si="61"/>
        <v>0</v>
      </c>
      <c r="I188" s="15"/>
      <c r="J188" s="16">
        <f t="shared" si="62"/>
        <v>0</v>
      </c>
      <c r="K188" s="16">
        <f t="shared" si="63"/>
        <v>0</v>
      </c>
      <c r="L188">
        <f t="shared" si="64"/>
        <v>0</v>
      </c>
      <c r="M188">
        <f t="shared" si="65"/>
        <v>0</v>
      </c>
      <c r="N188" s="16">
        <f t="shared" si="66"/>
        <v>0</v>
      </c>
      <c r="O188" s="16"/>
      <c r="P188" s="17">
        <f t="shared" si="67"/>
        <v>0</v>
      </c>
      <c r="Q188">
        <f>Q187/(1+Assumptions!$E$8/12)</f>
        <v>0.56798199626597168</v>
      </c>
      <c r="S188" s="17">
        <f t="shared" si="68"/>
        <v>0</v>
      </c>
      <c r="T188" s="17">
        <f>T187*(1+$K$24)*Z188</f>
        <v>0</v>
      </c>
      <c r="U188" s="17">
        <f t="shared" si="69"/>
        <v>0</v>
      </c>
      <c r="V188" s="17">
        <f t="shared" si="70"/>
        <v>0</v>
      </c>
      <c r="W188" s="17">
        <f t="shared" si="71"/>
        <v>0</v>
      </c>
      <c r="Y188">
        <f>(MONTH(E188)=MONTH(Assumptions!$E$6))*(YEAR(Assumptions!$E$6)=YEAR('Rent v Mortgage'!E188))</f>
        <v>0</v>
      </c>
      <c r="Z188">
        <f>--(SUM($Y$28:Y187)&lt;1)*AA188</f>
        <v>0</v>
      </c>
      <c r="AA188">
        <f t="shared" si="72"/>
        <v>1</v>
      </c>
      <c r="AB188" s="20"/>
      <c r="AC188">
        <f t="shared" si="73"/>
        <v>160</v>
      </c>
      <c r="AD188">
        <f t="shared" si="74"/>
        <v>2038</v>
      </c>
      <c r="AE188" s="12">
        <f t="shared" si="75"/>
        <v>50710</v>
      </c>
      <c r="AG188" s="19">
        <f t="shared" si="76"/>
        <v>0</v>
      </c>
      <c r="AH188" s="19">
        <f t="shared" si="77"/>
        <v>0</v>
      </c>
      <c r="AI188" s="19">
        <f t="shared" si="78"/>
        <v>0</v>
      </c>
      <c r="AK188" s="19">
        <f t="shared" si="79"/>
        <v>0</v>
      </c>
      <c r="AL188" s="19">
        <f ca="1">(IF(MOD(AC188,($AE$15*12)),0,$AG188-IFERROR(SUM(OFFSET(AL187,,,-$AE$15*12)),0))-SUM($AL$28:AL187)*(Z189=0))*(Z188=1)</f>
        <v>0</v>
      </c>
      <c r="AM188" s="19">
        <f t="shared" si="80"/>
        <v>0</v>
      </c>
      <c r="AN188" s="19">
        <f t="shared" si="81"/>
        <v>0</v>
      </c>
      <c r="AP188" s="19">
        <f t="shared" ca="1" si="55"/>
        <v>0</v>
      </c>
      <c r="AQ188" s="18">
        <f t="shared" si="56"/>
        <v>0.56798199626597168</v>
      </c>
    </row>
    <row r="189" spans="3:43" x14ac:dyDescent="0.25">
      <c r="C189">
        <f t="shared" si="57"/>
        <v>161</v>
      </c>
      <c r="D189">
        <f t="shared" si="58"/>
        <v>13</v>
      </c>
      <c r="E189" s="12">
        <f t="shared" si="59"/>
        <v>50740</v>
      </c>
      <c r="F189" s="12"/>
      <c r="G189" s="15">
        <f t="shared" si="60"/>
        <v>0</v>
      </c>
      <c r="H189" s="15">
        <f t="shared" si="61"/>
        <v>0</v>
      </c>
      <c r="I189" s="15"/>
      <c r="J189" s="16">
        <f t="shared" si="62"/>
        <v>0</v>
      </c>
      <c r="K189" s="16">
        <f t="shared" si="63"/>
        <v>0</v>
      </c>
      <c r="L189">
        <f t="shared" si="64"/>
        <v>0</v>
      </c>
      <c r="M189">
        <f t="shared" si="65"/>
        <v>0</v>
      </c>
      <c r="N189" s="16">
        <f t="shared" si="66"/>
        <v>0</v>
      </c>
      <c r="O189" s="16"/>
      <c r="P189" s="17">
        <f t="shared" si="67"/>
        <v>0</v>
      </c>
      <c r="Q189">
        <f>Q188/(1+Assumptions!$E$8/12)</f>
        <v>0.56597749264618302</v>
      </c>
      <c r="S189" s="17">
        <f t="shared" si="68"/>
        <v>0</v>
      </c>
      <c r="T189" s="17">
        <f>T188*(1+$K$24)*Z189</f>
        <v>0</v>
      </c>
      <c r="U189" s="17">
        <f t="shared" si="69"/>
        <v>0</v>
      </c>
      <c r="V189" s="17">
        <f t="shared" si="70"/>
        <v>0</v>
      </c>
      <c r="W189" s="17">
        <f t="shared" si="71"/>
        <v>0</v>
      </c>
      <c r="Y189">
        <f>(MONTH(E189)=MONTH(Assumptions!$E$6))*(YEAR(Assumptions!$E$6)=YEAR('Rent v Mortgage'!E189))</f>
        <v>0</v>
      </c>
      <c r="Z189">
        <f>--(SUM($Y$28:Y188)&lt;1)*AA189</f>
        <v>0</v>
      </c>
      <c r="AA189">
        <f t="shared" si="72"/>
        <v>1</v>
      </c>
      <c r="AB189" s="20"/>
      <c r="AC189">
        <f t="shared" si="73"/>
        <v>161</v>
      </c>
      <c r="AD189">
        <f t="shared" si="74"/>
        <v>2038</v>
      </c>
      <c r="AE189" s="12">
        <f t="shared" si="75"/>
        <v>50740</v>
      </c>
      <c r="AG189" s="19">
        <f t="shared" si="76"/>
        <v>0</v>
      </c>
      <c r="AH189" s="19">
        <f t="shared" si="77"/>
        <v>0</v>
      </c>
      <c r="AI189" s="19">
        <f t="shared" si="78"/>
        <v>0</v>
      </c>
      <c r="AK189" s="19">
        <f t="shared" si="79"/>
        <v>0</v>
      </c>
      <c r="AL189" s="19">
        <f ca="1">(IF(MOD(AC189,($AE$15*12)),0,$AG189-IFERROR(SUM(OFFSET(AL188,,,-$AE$15*12)),0))-SUM($AL$28:AL188)*(Z190=0))*(Z189=1)</f>
        <v>0</v>
      </c>
      <c r="AM189" s="19">
        <f t="shared" si="80"/>
        <v>0</v>
      </c>
      <c r="AN189" s="19">
        <f t="shared" si="81"/>
        <v>0</v>
      </c>
      <c r="AP189" s="19">
        <f t="shared" ca="1" si="55"/>
        <v>0</v>
      </c>
      <c r="AQ189" s="18">
        <f t="shared" si="56"/>
        <v>0.56597749264618302</v>
      </c>
    </row>
    <row r="190" spans="3:43" x14ac:dyDescent="0.25">
      <c r="C190">
        <f t="shared" si="57"/>
        <v>162</v>
      </c>
      <c r="D190">
        <f t="shared" si="58"/>
        <v>13</v>
      </c>
      <c r="E190" s="12">
        <f t="shared" si="59"/>
        <v>50771</v>
      </c>
      <c r="F190" s="12"/>
      <c r="G190" s="15">
        <f t="shared" si="60"/>
        <v>0</v>
      </c>
      <c r="H190" s="15">
        <f t="shared" si="61"/>
        <v>0</v>
      </c>
      <c r="I190" s="15"/>
      <c r="J190" s="16">
        <f t="shared" si="62"/>
        <v>0</v>
      </c>
      <c r="K190" s="16">
        <f t="shared" si="63"/>
        <v>0</v>
      </c>
      <c r="L190">
        <f t="shared" si="64"/>
        <v>0</v>
      </c>
      <c r="M190">
        <f t="shared" si="65"/>
        <v>0</v>
      </c>
      <c r="N190" s="16">
        <f t="shared" si="66"/>
        <v>0</v>
      </c>
      <c r="O190" s="16"/>
      <c r="P190" s="17">
        <f t="shared" si="67"/>
        <v>0</v>
      </c>
      <c r="Q190">
        <f>Q189/(1+Assumptions!$E$8/12)</f>
        <v>0.56398006325548644</v>
      </c>
      <c r="S190" s="17">
        <f t="shared" si="68"/>
        <v>0</v>
      </c>
      <c r="T190" s="17">
        <f>T189*(1+$K$24)*Z190</f>
        <v>0</v>
      </c>
      <c r="U190" s="17">
        <f t="shared" si="69"/>
        <v>0</v>
      </c>
      <c r="V190" s="17">
        <f t="shared" si="70"/>
        <v>0</v>
      </c>
      <c r="W190" s="17">
        <f t="shared" si="71"/>
        <v>0</v>
      </c>
      <c r="Y190">
        <f>(MONTH(E190)=MONTH(Assumptions!$E$6))*(YEAR(Assumptions!$E$6)=YEAR('Rent v Mortgage'!E190))</f>
        <v>0</v>
      </c>
      <c r="Z190">
        <f>--(SUM($Y$28:Y189)&lt;1)*AA190</f>
        <v>0</v>
      </c>
      <c r="AA190">
        <f t="shared" si="72"/>
        <v>1</v>
      </c>
      <c r="AB190" s="20"/>
      <c r="AC190">
        <f t="shared" si="73"/>
        <v>162</v>
      </c>
      <c r="AD190">
        <f t="shared" si="74"/>
        <v>2039</v>
      </c>
      <c r="AE190" s="12">
        <f t="shared" si="75"/>
        <v>50771</v>
      </c>
      <c r="AG190" s="19">
        <f t="shared" si="76"/>
        <v>0</v>
      </c>
      <c r="AH190" s="19">
        <f t="shared" si="77"/>
        <v>0</v>
      </c>
      <c r="AI190" s="19">
        <f t="shared" si="78"/>
        <v>0</v>
      </c>
      <c r="AK190" s="19">
        <f t="shared" si="79"/>
        <v>0</v>
      </c>
      <c r="AL190" s="19">
        <f ca="1">(IF(MOD(AC190,($AE$15*12)),0,$AG190-IFERROR(SUM(OFFSET(AL189,,,-$AE$15*12)),0))-SUM($AL$28:AL189)*(Z191=0))*(Z190=1)</f>
        <v>0</v>
      </c>
      <c r="AM190" s="19">
        <f t="shared" si="80"/>
        <v>0</v>
      </c>
      <c r="AN190" s="19">
        <f t="shared" si="81"/>
        <v>0</v>
      </c>
      <c r="AP190" s="19">
        <f t="shared" ca="1" si="55"/>
        <v>0</v>
      </c>
      <c r="AQ190" s="18">
        <f t="shared" si="56"/>
        <v>0.56398006325548644</v>
      </c>
    </row>
    <row r="191" spans="3:43" x14ac:dyDescent="0.25">
      <c r="C191">
        <f t="shared" si="57"/>
        <v>163</v>
      </c>
      <c r="D191">
        <f t="shared" si="58"/>
        <v>13</v>
      </c>
      <c r="E191" s="12">
        <f t="shared" si="59"/>
        <v>50802</v>
      </c>
      <c r="F191" s="12"/>
      <c r="G191" s="15">
        <f t="shared" si="60"/>
        <v>0</v>
      </c>
      <c r="H191" s="15">
        <f t="shared" si="61"/>
        <v>0</v>
      </c>
      <c r="I191" s="15"/>
      <c r="J191" s="16">
        <f t="shared" si="62"/>
        <v>0</v>
      </c>
      <c r="K191" s="16">
        <f t="shared" si="63"/>
        <v>0</v>
      </c>
      <c r="L191">
        <f t="shared" si="64"/>
        <v>0</v>
      </c>
      <c r="M191">
        <f t="shared" si="65"/>
        <v>0</v>
      </c>
      <c r="N191" s="16">
        <f t="shared" si="66"/>
        <v>0</v>
      </c>
      <c r="O191" s="16"/>
      <c r="P191" s="17">
        <f t="shared" si="67"/>
        <v>0</v>
      </c>
      <c r="Q191">
        <f>Q190/(1+Assumptions!$E$8/12)</f>
        <v>0.56198968312774233</v>
      </c>
      <c r="S191" s="17">
        <f t="shared" si="68"/>
        <v>0</v>
      </c>
      <c r="T191" s="17">
        <f>T190*(1+$K$24)*Z191</f>
        <v>0</v>
      </c>
      <c r="U191" s="17">
        <f t="shared" si="69"/>
        <v>0</v>
      </c>
      <c r="V191" s="17">
        <f t="shared" si="70"/>
        <v>0</v>
      </c>
      <c r="W191" s="17">
        <f t="shared" si="71"/>
        <v>0</v>
      </c>
      <c r="Y191">
        <f>(MONTH(E191)=MONTH(Assumptions!$E$6))*(YEAR(Assumptions!$E$6)=YEAR('Rent v Mortgage'!E191))</f>
        <v>0</v>
      </c>
      <c r="Z191">
        <f>--(SUM($Y$28:Y190)&lt;1)*AA191</f>
        <v>0</v>
      </c>
      <c r="AA191">
        <f t="shared" si="72"/>
        <v>1</v>
      </c>
      <c r="AB191" s="20"/>
      <c r="AC191">
        <f t="shared" si="73"/>
        <v>163</v>
      </c>
      <c r="AD191">
        <f t="shared" si="74"/>
        <v>2039</v>
      </c>
      <c r="AE191" s="12">
        <f t="shared" si="75"/>
        <v>50802</v>
      </c>
      <c r="AG191" s="19">
        <f t="shared" si="76"/>
        <v>0</v>
      </c>
      <c r="AH191" s="19">
        <f t="shared" si="77"/>
        <v>0</v>
      </c>
      <c r="AI191" s="19">
        <f t="shared" si="78"/>
        <v>0</v>
      </c>
      <c r="AK191" s="19">
        <f t="shared" si="79"/>
        <v>0</v>
      </c>
      <c r="AL191" s="19">
        <f ca="1">(IF(MOD(AC191,($AE$15*12)),0,$AG191-IFERROR(SUM(OFFSET(AL190,,,-$AE$15*12)),0))-SUM($AL$28:AL190)*(Z192=0))*(Z191=1)</f>
        <v>0</v>
      </c>
      <c r="AM191" s="19">
        <f t="shared" si="80"/>
        <v>0</v>
      </c>
      <c r="AN191" s="19">
        <f t="shared" si="81"/>
        <v>0</v>
      </c>
      <c r="AP191" s="19">
        <f t="shared" ca="1" si="55"/>
        <v>0</v>
      </c>
      <c r="AQ191" s="18">
        <f t="shared" si="56"/>
        <v>0.56198968312774233</v>
      </c>
    </row>
    <row r="192" spans="3:43" x14ac:dyDescent="0.25">
      <c r="C192">
        <f t="shared" si="57"/>
        <v>164</v>
      </c>
      <c r="D192">
        <f t="shared" si="58"/>
        <v>13</v>
      </c>
      <c r="E192" s="12">
        <f t="shared" si="59"/>
        <v>50830</v>
      </c>
      <c r="F192" s="12"/>
      <c r="G192" s="15">
        <f t="shared" si="60"/>
        <v>0</v>
      </c>
      <c r="H192" s="15">
        <f t="shared" si="61"/>
        <v>0</v>
      </c>
      <c r="I192" s="15"/>
      <c r="J192" s="16">
        <f t="shared" si="62"/>
        <v>0</v>
      </c>
      <c r="K192" s="16">
        <f t="shared" si="63"/>
        <v>0</v>
      </c>
      <c r="L192">
        <f t="shared" si="64"/>
        <v>0</v>
      </c>
      <c r="M192">
        <f t="shared" si="65"/>
        <v>0</v>
      </c>
      <c r="N192" s="16">
        <f t="shared" si="66"/>
        <v>0</v>
      </c>
      <c r="O192" s="16"/>
      <c r="P192" s="17">
        <f t="shared" si="67"/>
        <v>0</v>
      </c>
      <c r="Q192">
        <f>Q191/(1+Assumptions!$E$8/12)</f>
        <v>0.56000632738492073</v>
      </c>
      <c r="S192" s="17">
        <f t="shared" si="68"/>
        <v>0</v>
      </c>
      <c r="T192" s="17">
        <f>T191*(1+$K$24)*Z192</f>
        <v>0</v>
      </c>
      <c r="U192" s="17">
        <f t="shared" si="69"/>
        <v>0</v>
      </c>
      <c r="V192" s="17">
        <f t="shared" si="70"/>
        <v>0</v>
      </c>
      <c r="W192" s="17">
        <f t="shared" si="71"/>
        <v>0</v>
      </c>
      <c r="Y192">
        <f>(MONTH(E192)=MONTH(Assumptions!$E$6))*(YEAR(Assumptions!$E$6)=YEAR('Rent v Mortgage'!E192))</f>
        <v>0</v>
      </c>
      <c r="Z192">
        <f>--(SUM($Y$28:Y191)&lt;1)*AA192</f>
        <v>0</v>
      </c>
      <c r="AA192">
        <f t="shared" si="72"/>
        <v>1</v>
      </c>
      <c r="AB192" s="20"/>
      <c r="AC192">
        <f t="shared" si="73"/>
        <v>164</v>
      </c>
      <c r="AD192">
        <f t="shared" si="74"/>
        <v>2039</v>
      </c>
      <c r="AE192" s="12">
        <f t="shared" si="75"/>
        <v>50830</v>
      </c>
      <c r="AG192" s="19">
        <f t="shared" si="76"/>
        <v>0</v>
      </c>
      <c r="AH192" s="19">
        <f t="shared" si="77"/>
        <v>0</v>
      </c>
      <c r="AI192" s="19">
        <f t="shared" si="78"/>
        <v>0</v>
      </c>
      <c r="AK192" s="19">
        <f t="shared" si="79"/>
        <v>0</v>
      </c>
      <c r="AL192" s="19">
        <f ca="1">(IF(MOD(AC192,($AE$15*12)),0,$AG192-IFERROR(SUM(OFFSET(AL191,,,-$AE$15*12)),0))-SUM($AL$28:AL191)*(Z193=0))*(Z192=1)</f>
        <v>0</v>
      </c>
      <c r="AM192" s="19">
        <f t="shared" si="80"/>
        <v>0</v>
      </c>
      <c r="AN192" s="19">
        <f t="shared" si="81"/>
        <v>0</v>
      </c>
      <c r="AP192" s="19">
        <f t="shared" ca="1" si="55"/>
        <v>0</v>
      </c>
      <c r="AQ192" s="18">
        <f t="shared" si="56"/>
        <v>0.56000632738492073</v>
      </c>
    </row>
    <row r="193" spans="3:43" x14ac:dyDescent="0.25">
      <c r="C193">
        <f t="shared" si="57"/>
        <v>165</v>
      </c>
      <c r="D193">
        <f t="shared" si="58"/>
        <v>13</v>
      </c>
      <c r="E193" s="12">
        <f t="shared" si="59"/>
        <v>50861</v>
      </c>
      <c r="F193" s="12"/>
      <c r="G193" s="15">
        <f t="shared" si="60"/>
        <v>0</v>
      </c>
      <c r="H193" s="15">
        <f t="shared" si="61"/>
        <v>0</v>
      </c>
      <c r="I193" s="15"/>
      <c r="J193" s="16">
        <f t="shared" si="62"/>
        <v>0</v>
      </c>
      <c r="K193" s="16">
        <f t="shared" si="63"/>
        <v>0</v>
      </c>
      <c r="L193">
        <f t="shared" si="64"/>
        <v>0</v>
      </c>
      <c r="M193">
        <f t="shared" si="65"/>
        <v>0</v>
      </c>
      <c r="N193" s="16">
        <f t="shared" si="66"/>
        <v>0</v>
      </c>
      <c r="O193" s="16"/>
      <c r="P193" s="17">
        <f t="shared" si="67"/>
        <v>0</v>
      </c>
      <c r="Q193">
        <f>Q192/(1+Assumptions!$E$8/12)</f>
        <v>0.55802997123679032</v>
      </c>
      <c r="S193" s="17">
        <f t="shared" si="68"/>
        <v>0</v>
      </c>
      <c r="T193" s="17">
        <f>T192*(1+$K$24)*Z193</f>
        <v>0</v>
      </c>
      <c r="U193" s="17">
        <f t="shared" si="69"/>
        <v>0</v>
      </c>
      <c r="V193" s="17">
        <f t="shared" si="70"/>
        <v>0</v>
      </c>
      <c r="W193" s="17">
        <f t="shared" si="71"/>
        <v>0</v>
      </c>
      <c r="Y193">
        <f>(MONTH(E193)=MONTH(Assumptions!$E$6))*(YEAR(Assumptions!$E$6)=YEAR('Rent v Mortgage'!E193))</f>
        <v>0</v>
      </c>
      <c r="Z193">
        <f>--(SUM($Y$28:Y192)&lt;1)*AA193</f>
        <v>0</v>
      </c>
      <c r="AA193">
        <f t="shared" si="72"/>
        <v>1</v>
      </c>
      <c r="AB193" s="20"/>
      <c r="AC193">
        <f t="shared" si="73"/>
        <v>165</v>
      </c>
      <c r="AD193">
        <f t="shared" si="74"/>
        <v>2039</v>
      </c>
      <c r="AE193" s="12">
        <f t="shared" si="75"/>
        <v>50861</v>
      </c>
      <c r="AG193" s="19">
        <f t="shared" si="76"/>
        <v>0</v>
      </c>
      <c r="AH193" s="19">
        <f t="shared" si="77"/>
        <v>0</v>
      </c>
      <c r="AI193" s="19">
        <f t="shared" si="78"/>
        <v>0</v>
      </c>
      <c r="AK193" s="19">
        <f t="shared" si="79"/>
        <v>0</v>
      </c>
      <c r="AL193" s="19">
        <f ca="1">(IF(MOD(AC193,($AE$15*12)),0,$AG193-IFERROR(SUM(OFFSET(AL192,,,-$AE$15*12)),0))-SUM($AL$28:AL192)*(Z194=0))*(Z193=1)</f>
        <v>0</v>
      </c>
      <c r="AM193" s="19">
        <f t="shared" si="80"/>
        <v>0</v>
      </c>
      <c r="AN193" s="19">
        <f t="shared" si="81"/>
        <v>0</v>
      </c>
      <c r="AP193" s="19">
        <f t="shared" ca="1" si="55"/>
        <v>0</v>
      </c>
      <c r="AQ193" s="18">
        <f t="shared" si="56"/>
        <v>0.55802997123679032</v>
      </c>
    </row>
    <row r="194" spans="3:43" x14ac:dyDescent="0.25">
      <c r="C194">
        <f t="shared" si="57"/>
        <v>166</v>
      </c>
      <c r="D194">
        <f t="shared" si="58"/>
        <v>13</v>
      </c>
      <c r="E194" s="12">
        <f t="shared" si="59"/>
        <v>50891</v>
      </c>
      <c r="F194" s="12"/>
      <c r="G194" s="15">
        <f t="shared" si="60"/>
        <v>0</v>
      </c>
      <c r="H194" s="15">
        <f t="shared" si="61"/>
        <v>0</v>
      </c>
      <c r="I194" s="15"/>
      <c r="J194" s="16">
        <f t="shared" si="62"/>
        <v>0</v>
      </c>
      <c r="K194" s="16">
        <f t="shared" si="63"/>
        <v>0</v>
      </c>
      <c r="L194">
        <f t="shared" si="64"/>
        <v>0</v>
      </c>
      <c r="M194">
        <f t="shared" si="65"/>
        <v>0</v>
      </c>
      <c r="N194" s="16">
        <f t="shared" si="66"/>
        <v>0</v>
      </c>
      <c r="O194" s="16"/>
      <c r="P194" s="17">
        <f t="shared" si="67"/>
        <v>0</v>
      </c>
      <c r="Q194">
        <f>Q193/(1+Assumptions!$E$8/12)</f>
        <v>0.55606058998060892</v>
      </c>
      <c r="S194" s="17">
        <f t="shared" si="68"/>
        <v>0</v>
      </c>
      <c r="T194" s="17">
        <f>T193*(1+$K$24)*Z194</f>
        <v>0</v>
      </c>
      <c r="U194" s="17">
        <f t="shared" si="69"/>
        <v>0</v>
      </c>
      <c r="V194" s="17">
        <f t="shared" si="70"/>
        <v>0</v>
      </c>
      <c r="W194" s="17">
        <f t="shared" si="71"/>
        <v>0</v>
      </c>
      <c r="Y194">
        <f>(MONTH(E194)=MONTH(Assumptions!$E$6))*(YEAR(Assumptions!$E$6)=YEAR('Rent v Mortgage'!E194))</f>
        <v>0</v>
      </c>
      <c r="Z194">
        <f>--(SUM($Y$28:Y193)&lt;1)*AA194</f>
        <v>0</v>
      </c>
      <c r="AA194">
        <f t="shared" si="72"/>
        <v>1</v>
      </c>
      <c r="AB194" s="20"/>
      <c r="AC194">
        <f t="shared" si="73"/>
        <v>166</v>
      </c>
      <c r="AD194">
        <f t="shared" si="74"/>
        <v>2039</v>
      </c>
      <c r="AE194" s="12">
        <f t="shared" si="75"/>
        <v>50891</v>
      </c>
      <c r="AG194" s="19">
        <f t="shared" si="76"/>
        <v>0</v>
      </c>
      <c r="AH194" s="19">
        <f t="shared" si="77"/>
        <v>0</v>
      </c>
      <c r="AI194" s="19">
        <f t="shared" si="78"/>
        <v>0</v>
      </c>
      <c r="AK194" s="19">
        <f t="shared" si="79"/>
        <v>0</v>
      </c>
      <c r="AL194" s="19">
        <f ca="1">(IF(MOD(AC194,($AE$15*12)),0,$AG194-IFERROR(SUM(OFFSET(AL193,,,-$AE$15*12)),0))-SUM($AL$28:AL193)*(Z195=0))*(Z194=1)</f>
        <v>0</v>
      </c>
      <c r="AM194" s="19">
        <f t="shared" si="80"/>
        <v>0</v>
      </c>
      <c r="AN194" s="19">
        <f t="shared" si="81"/>
        <v>0</v>
      </c>
      <c r="AP194" s="19">
        <f t="shared" ca="1" si="55"/>
        <v>0</v>
      </c>
      <c r="AQ194" s="18">
        <f t="shared" si="56"/>
        <v>0.55606058998060892</v>
      </c>
    </row>
    <row r="195" spans="3:43" x14ac:dyDescent="0.25">
      <c r="C195">
        <f t="shared" si="57"/>
        <v>167</v>
      </c>
      <c r="D195">
        <f t="shared" si="58"/>
        <v>13</v>
      </c>
      <c r="E195" s="12">
        <f t="shared" si="59"/>
        <v>50922</v>
      </c>
      <c r="F195" s="12"/>
      <c r="G195" s="15">
        <f t="shared" si="60"/>
        <v>0</v>
      </c>
      <c r="H195" s="15">
        <f t="shared" si="61"/>
        <v>0</v>
      </c>
      <c r="I195" s="15"/>
      <c r="J195" s="16">
        <f t="shared" si="62"/>
        <v>0</v>
      </c>
      <c r="K195" s="16">
        <f t="shared" si="63"/>
        <v>0</v>
      </c>
      <c r="L195">
        <f t="shared" si="64"/>
        <v>0</v>
      </c>
      <c r="M195">
        <f t="shared" si="65"/>
        <v>0</v>
      </c>
      <c r="N195" s="16">
        <f t="shared" si="66"/>
        <v>0</v>
      </c>
      <c r="O195" s="16"/>
      <c r="P195" s="17">
        <f t="shared" si="67"/>
        <v>0</v>
      </c>
      <c r="Q195">
        <f>Q194/(1+Assumptions!$E$8/12)</f>
        <v>0.55409815900081427</v>
      </c>
      <c r="S195" s="17">
        <f t="shared" si="68"/>
        <v>0</v>
      </c>
      <c r="T195" s="17">
        <f>T194*(1+$K$24)*Z195</f>
        <v>0</v>
      </c>
      <c r="U195" s="17">
        <f t="shared" si="69"/>
        <v>0</v>
      </c>
      <c r="V195" s="17">
        <f t="shared" si="70"/>
        <v>0</v>
      </c>
      <c r="W195" s="17">
        <f t="shared" si="71"/>
        <v>0</v>
      </c>
      <c r="Y195">
        <f>(MONTH(E195)=MONTH(Assumptions!$E$6))*(YEAR(Assumptions!$E$6)=YEAR('Rent v Mortgage'!E195))</f>
        <v>0</v>
      </c>
      <c r="Z195">
        <f>--(SUM($Y$28:Y194)&lt;1)*AA195</f>
        <v>0</v>
      </c>
      <c r="AA195">
        <f t="shared" si="72"/>
        <v>1</v>
      </c>
      <c r="AB195" s="20"/>
      <c r="AC195">
        <f t="shared" si="73"/>
        <v>167</v>
      </c>
      <c r="AD195">
        <f t="shared" si="74"/>
        <v>2039</v>
      </c>
      <c r="AE195" s="12">
        <f t="shared" si="75"/>
        <v>50922</v>
      </c>
      <c r="AG195" s="19">
        <f t="shared" si="76"/>
        <v>0</v>
      </c>
      <c r="AH195" s="19">
        <f t="shared" si="77"/>
        <v>0</v>
      </c>
      <c r="AI195" s="19">
        <f t="shared" si="78"/>
        <v>0</v>
      </c>
      <c r="AK195" s="19">
        <f t="shared" si="79"/>
        <v>0</v>
      </c>
      <c r="AL195" s="19">
        <f ca="1">(IF(MOD(AC195,($AE$15*12)),0,$AG195-IFERROR(SUM(OFFSET(AL194,,,-$AE$15*12)),0))-SUM($AL$28:AL194)*(Z196=0))*(Z195=1)</f>
        <v>0</v>
      </c>
      <c r="AM195" s="19">
        <f t="shared" si="80"/>
        <v>0</v>
      </c>
      <c r="AN195" s="19">
        <f t="shared" si="81"/>
        <v>0</v>
      </c>
      <c r="AP195" s="19">
        <f t="shared" ca="1" si="55"/>
        <v>0</v>
      </c>
      <c r="AQ195" s="18">
        <f t="shared" si="56"/>
        <v>0.55409815900081427</v>
      </c>
    </row>
    <row r="196" spans="3:43" x14ac:dyDescent="0.25">
      <c r="C196">
        <f t="shared" si="57"/>
        <v>168</v>
      </c>
      <c r="D196">
        <f t="shared" si="58"/>
        <v>14</v>
      </c>
      <c r="E196" s="12">
        <f t="shared" si="59"/>
        <v>50952</v>
      </c>
      <c r="F196" s="12"/>
      <c r="G196" s="15">
        <f t="shared" si="60"/>
        <v>0</v>
      </c>
      <c r="H196" s="15">
        <f t="shared" si="61"/>
        <v>0</v>
      </c>
      <c r="I196" s="15"/>
      <c r="J196" s="16">
        <f t="shared" si="62"/>
        <v>0</v>
      </c>
      <c r="K196" s="16">
        <f t="shared" si="63"/>
        <v>0</v>
      </c>
      <c r="L196">
        <f t="shared" si="64"/>
        <v>0</v>
      </c>
      <c r="M196">
        <f t="shared" si="65"/>
        <v>0</v>
      </c>
      <c r="N196" s="16">
        <f t="shared" si="66"/>
        <v>0</v>
      </c>
      <c r="O196" s="16"/>
      <c r="P196" s="17">
        <f t="shared" si="67"/>
        <v>0</v>
      </c>
      <c r="Q196">
        <f>Q195/(1+Assumptions!$E$8/12)</f>
        <v>0.55214265376871663</v>
      </c>
      <c r="S196" s="17">
        <f t="shared" si="68"/>
        <v>0</v>
      </c>
      <c r="T196" s="17">
        <f>T195*(1+$K$24)*Z196</f>
        <v>0</v>
      </c>
      <c r="U196" s="17">
        <f t="shared" si="69"/>
        <v>0</v>
      </c>
      <c r="V196" s="17">
        <f t="shared" si="70"/>
        <v>0</v>
      </c>
      <c r="W196" s="17">
        <f t="shared" si="71"/>
        <v>0</v>
      </c>
      <c r="Y196">
        <f>(MONTH(E196)=MONTH(Assumptions!$E$6))*(YEAR(Assumptions!$E$6)=YEAR('Rent v Mortgage'!E196))</f>
        <v>0</v>
      </c>
      <c r="Z196">
        <f>--(SUM($Y$28:Y195)&lt;1)*AA196</f>
        <v>0</v>
      </c>
      <c r="AA196">
        <f t="shared" si="72"/>
        <v>1</v>
      </c>
      <c r="AB196" s="20"/>
      <c r="AC196">
        <f t="shared" si="73"/>
        <v>168</v>
      </c>
      <c r="AD196">
        <f t="shared" si="74"/>
        <v>2039</v>
      </c>
      <c r="AE196" s="12">
        <f t="shared" si="75"/>
        <v>50952</v>
      </c>
      <c r="AG196" s="19">
        <f t="shared" si="76"/>
        <v>0</v>
      </c>
      <c r="AH196" s="19">
        <f t="shared" si="77"/>
        <v>0</v>
      </c>
      <c r="AI196" s="19">
        <f t="shared" si="78"/>
        <v>0</v>
      </c>
      <c r="AK196" s="19">
        <f t="shared" si="79"/>
        <v>0</v>
      </c>
      <c r="AL196" s="19">
        <f ca="1">(IF(MOD(AC196,($AE$15*12)),0,$AG196-IFERROR(SUM(OFFSET(AL195,,,-$AE$15*12)),0))-SUM($AL$28:AL195)*(Z197=0))*(Z196=1)</f>
        <v>0</v>
      </c>
      <c r="AM196" s="19">
        <f t="shared" si="80"/>
        <v>0</v>
      </c>
      <c r="AN196" s="19">
        <f t="shared" si="81"/>
        <v>0</v>
      </c>
      <c r="AP196" s="19">
        <f t="shared" ca="1" si="55"/>
        <v>0</v>
      </c>
      <c r="AQ196" s="18">
        <f t="shared" si="56"/>
        <v>0.55214265376871663</v>
      </c>
    </row>
    <row r="197" spans="3:43" x14ac:dyDescent="0.25">
      <c r="C197">
        <f t="shared" si="57"/>
        <v>169</v>
      </c>
      <c r="D197">
        <f t="shared" si="58"/>
        <v>14</v>
      </c>
      <c r="E197" s="12">
        <f t="shared" si="59"/>
        <v>50983</v>
      </c>
      <c r="F197" s="12"/>
      <c r="G197" s="15">
        <f t="shared" si="60"/>
        <v>0</v>
      </c>
      <c r="H197" s="15">
        <f t="shared" si="61"/>
        <v>0</v>
      </c>
      <c r="I197" s="15"/>
      <c r="J197" s="16">
        <f t="shared" si="62"/>
        <v>0</v>
      </c>
      <c r="K197" s="16">
        <f t="shared" si="63"/>
        <v>0</v>
      </c>
      <c r="L197">
        <f t="shared" si="64"/>
        <v>0</v>
      </c>
      <c r="M197">
        <f t="shared" si="65"/>
        <v>0</v>
      </c>
      <c r="N197" s="16">
        <f t="shared" si="66"/>
        <v>0</v>
      </c>
      <c r="O197" s="16"/>
      <c r="P197" s="17">
        <f t="shared" si="67"/>
        <v>0</v>
      </c>
      <c r="Q197">
        <f>Q196/(1+Assumptions!$E$8/12)</f>
        <v>0.55019404984219211</v>
      </c>
      <c r="S197" s="17">
        <f t="shared" si="68"/>
        <v>0</v>
      </c>
      <c r="T197" s="17">
        <f>T196*(1+$K$24)*Z197</f>
        <v>0</v>
      </c>
      <c r="U197" s="17">
        <f t="shared" si="69"/>
        <v>0</v>
      </c>
      <c r="V197" s="17">
        <f t="shared" si="70"/>
        <v>0</v>
      </c>
      <c r="W197" s="17">
        <f t="shared" si="71"/>
        <v>0</v>
      </c>
      <c r="Y197">
        <f>(MONTH(E197)=MONTH(Assumptions!$E$6))*(YEAR(Assumptions!$E$6)=YEAR('Rent v Mortgage'!E197))</f>
        <v>0</v>
      </c>
      <c r="Z197">
        <f>--(SUM($Y$28:Y196)&lt;1)*AA197</f>
        <v>0</v>
      </c>
      <c r="AA197">
        <f t="shared" si="72"/>
        <v>1</v>
      </c>
      <c r="AB197" s="20"/>
      <c r="AC197">
        <f t="shared" si="73"/>
        <v>169</v>
      </c>
      <c r="AD197">
        <f t="shared" si="74"/>
        <v>2039</v>
      </c>
      <c r="AE197" s="12">
        <f t="shared" si="75"/>
        <v>50983</v>
      </c>
      <c r="AG197" s="19">
        <f t="shared" si="76"/>
        <v>0</v>
      </c>
      <c r="AH197" s="19">
        <f t="shared" si="77"/>
        <v>0</v>
      </c>
      <c r="AI197" s="19">
        <f t="shared" si="78"/>
        <v>0</v>
      </c>
      <c r="AK197" s="19">
        <f t="shared" si="79"/>
        <v>0</v>
      </c>
      <c r="AL197" s="19">
        <f ca="1">(IF(MOD(AC197,($AE$15*12)),0,$AG197-IFERROR(SUM(OFFSET(AL196,,,-$AE$15*12)),0))-SUM($AL$28:AL196)*(Z198=0))*(Z197=1)</f>
        <v>0</v>
      </c>
      <c r="AM197" s="19">
        <f t="shared" si="80"/>
        <v>0</v>
      </c>
      <c r="AN197" s="19">
        <f t="shared" si="81"/>
        <v>0</v>
      </c>
      <c r="AP197" s="19">
        <f t="shared" ca="1" si="55"/>
        <v>0</v>
      </c>
      <c r="AQ197" s="18">
        <f t="shared" si="56"/>
        <v>0.55019404984219211</v>
      </c>
    </row>
    <row r="198" spans="3:43" x14ac:dyDescent="0.25">
      <c r="C198">
        <f t="shared" si="57"/>
        <v>170</v>
      </c>
      <c r="D198">
        <f t="shared" si="58"/>
        <v>14</v>
      </c>
      <c r="E198" s="12">
        <f t="shared" si="59"/>
        <v>51014</v>
      </c>
      <c r="F198" s="12"/>
      <c r="G198" s="15">
        <f t="shared" si="60"/>
        <v>0</v>
      </c>
      <c r="H198" s="15">
        <f t="shared" si="61"/>
        <v>0</v>
      </c>
      <c r="I198" s="15"/>
      <c r="J198" s="16">
        <f t="shared" si="62"/>
        <v>0</v>
      </c>
      <c r="K198" s="16">
        <f t="shared" si="63"/>
        <v>0</v>
      </c>
      <c r="L198">
        <f t="shared" si="64"/>
        <v>0</v>
      </c>
      <c r="M198">
        <f t="shared" si="65"/>
        <v>0</v>
      </c>
      <c r="N198" s="16">
        <f t="shared" si="66"/>
        <v>0</v>
      </c>
      <c r="O198" s="16"/>
      <c r="P198" s="17">
        <f t="shared" si="67"/>
        <v>0</v>
      </c>
      <c r="Q198">
        <f>Q197/(1+Assumptions!$E$8/12)</f>
        <v>0.54825232286537717</v>
      </c>
      <c r="S198" s="17">
        <f t="shared" si="68"/>
        <v>0</v>
      </c>
      <c r="T198" s="17">
        <f>T197*(1+$K$24)*Z198</f>
        <v>0</v>
      </c>
      <c r="U198" s="17">
        <f t="shared" si="69"/>
        <v>0</v>
      </c>
      <c r="V198" s="17">
        <f t="shared" si="70"/>
        <v>0</v>
      </c>
      <c r="W198" s="17">
        <f t="shared" si="71"/>
        <v>0</v>
      </c>
      <c r="Y198">
        <f>(MONTH(E198)=MONTH(Assumptions!$E$6))*(YEAR(Assumptions!$E$6)=YEAR('Rent v Mortgage'!E198))</f>
        <v>0</v>
      </c>
      <c r="Z198">
        <f>--(SUM($Y$28:Y197)&lt;1)*AA198</f>
        <v>0</v>
      </c>
      <c r="AA198">
        <f t="shared" si="72"/>
        <v>1</v>
      </c>
      <c r="AB198" s="20"/>
      <c r="AC198">
        <f t="shared" si="73"/>
        <v>170</v>
      </c>
      <c r="AD198">
        <f t="shared" si="74"/>
        <v>2039</v>
      </c>
      <c r="AE198" s="12">
        <f t="shared" si="75"/>
        <v>51014</v>
      </c>
      <c r="AG198" s="19">
        <f t="shared" si="76"/>
        <v>0</v>
      </c>
      <c r="AH198" s="19">
        <f t="shared" si="77"/>
        <v>0</v>
      </c>
      <c r="AI198" s="19">
        <f t="shared" si="78"/>
        <v>0</v>
      </c>
      <c r="AK198" s="19">
        <f t="shared" si="79"/>
        <v>0</v>
      </c>
      <c r="AL198" s="19">
        <f ca="1">(IF(MOD(AC198,($AE$15*12)),0,$AG198-IFERROR(SUM(OFFSET(AL197,,,-$AE$15*12)),0))-SUM($AL$28:AL197)*(Z199=0))*(Z198=1)</f>
        <v>0</v>
      </c>
      <c r="AM198" s="19">
        <f t="shared" si="80"/>
        <v>0</v>
      </c>
      <c r="AN198" s="19">
        <f t="shared" si="81"/>
        <v>0</v>
      </c>
      <c r="AP198" s="19">
        <f t="shared" ca="1" si="55"/>
        <v>0</v>
      </c>
      <c r="AQ198" s="18">
        <f t="shared" si="56"/>
        <v>0.54825232286537717</v>
      </c>
    </row>
    <row r="199" spans="3:43" x14ac:dyDescent="0.25">
      <c r="C199">
        <f t="shared" si="57"/>
        <v>171</v>
      </c>
      <c r="D199">
        <f t="shared" si="58"/>
        <v>14</v>
      </c>
      <c r="E199" s="12">
        <f t="shared" si="59"/>
        <v>51044</v>
      </c>
      <c r="F199" s="12"/>
      <c r="G199" s="15">
        <f t="shared" si="60"/>
        <v>0</v>
      </c>
      <c r="H199" s="15">
        <f t="shared" si="61"/>
        <v>0</v>
      </c>
      <c r="I199" s="15"/>
      <c r="J199" s="16">
        <f t="shared" si="62"/>
        <v>0</v>
      </c>
      <c r="K199" s="16">
        <f t="shared" si="63"/>
        <v>0</v>
      </c>
      <c r="L199">
        <f t="shared" si="64"/>
        <v>0</v>
      </c>
      <c r="M199">
        <f t="shared" si="65"/>
        <v>0</v>
      </c>
      <c r="N199" s="16">
        <f t="shared" si="66"/>
        <v>0</v>
      </c>
      <c r="O199" s="16"/>
      <c r="P199" s="17">
        <f t="shared" si="67"/>
        <v>0</v>
      </c>
      <c r="Q199">
        <f>Q198/(1+Assumptions!$E$8/12)</f>
        <v>0.54631744856836417</v>
      </c>
      <c r="S199" s="17">
        <f t="shared" si="68"/>
        <v>0</v>
      </c>
      <c r="T199" s="17">
        <f>T198*(1+$K$24)*Z199</f>
        <v>0</v>
      </c>
      <c r="U199" s="17">
        <f t="shared" si="69"/>
        <v>0</v>
      </c>
      <c r="V199" s="17">
        <f t="shared" si="70"/>
        <v>0</v>
      </c>
      <c r="W199" s="17">
        <f t="shared" si="71"/>
        <v>0</v>
      </c>
      <c r="Y199">
        <f>(MONTH(E199)=MONTH(Assumptions!$E$6))*(YEAR(Assumptions!$E$6)=YEAR('Rent v Mortgage'!E199))</f>
        <v>0</v>
      </c>
      <c r="Z199">
        <f>--(SUM($Y$28:Y198)&lt;1)*AA199</f>
        <v>0</v>
      </c>
      <c r="AA199">
        <f t="shared" si="72"/>
        <v>1</v>
      </c>
      <c r="AB199" s="20"/>
      <c r="AC199">
        <f t="shared" si="73"/>
        <v>171</v>
      </c>
      <c r="AD199">
        <f t="shared" si="74"/>
        <v>2039</v>
      </c>
      <c r="AE199" s="12">
        <f t="shared" si="75"/>
        <v>51044</v>
      </c>
      <c r="AG199" s="19">
        <f t="shared" si="76"/>
        <v>0</v>
      </c>
      <c r="AH199" s="19">
        <f t="shared" si="77"/>
        <v>0</v>
      </c>
      <c r="AI199" s="19">
        <f t="shared" si="78"/>
        <v>0</v>
      </c>
      <c r="AK199" s="19">
        <f t="shared" si="79"/>
        <v>0</v>
      </c>
      <c r="AL199" s="19">
        <f ca="1">(IF(MOD(AC199,($AE$15*12)),0,$AG199-IFERROR(SUM(OFFSET(AL198,,,-$AE$15*12)),0))-SUM($AL$28:AL198)*(Z200=0))*(Z199=1)</f>
        <v>0</v>
      </c>
      <c r="AM199" s="19">
        <f t="shared" si="80"/>
        <v>0</v>
      </c>
      <c r="AN199" s="19">
        <f t="shared" si="81"/>
        <v>0</v>
      </c>
      <c r="AP199" s="19">
        <f t="shared" ca="1" si="55"/>
        <v>0</v>
      </c>
      <c r="AQ199" s="18">
        <f t="shared" si="56"/>
        <v>0.54631744856836417</v>
      </c>
    </row>
    <row r="200" spans="3:43" x14ac:dyDescent="0.25">
      <c r="C200">
        <f t="shared" si="57"/>
        <v>172</v>
      </c>
      <c r="D200">
        <f t="shared" si="58"/>
        <v>14</v>
      </c>
      <c r="E200" s="12">
        <f t="shared" si="59"/>
        <v>51075</v>
      </c>
      <c r="F200" s="12"/>
      <c r="G200" s="15">
        <f t="shared" si="60"/>
        <v>0</v>
      </c>
      <c r="H200" s="15">
        <f t="shared" si="61"/>
        <v>0</v>
      </c>
      <c r="I200" s="15"/>
      <c r="J200" s="16">
        <f t="shared" si="62"/>
        <v>0</v>
      </c>
      <c r="K200" s="16">
        <f t="shared" si="63"/>
        <v>0</v>
      </c>
      <c r="L200">
        <f t="shared" si="64"/>
        <v>0</v>
      </c>
      <c r="M200">
        <f t="shared" si="65"/>
        <v>0</v>
      </c>
      <c r="N200" s="16">
        <f t="shared" si="66"/>
        <v>0</v>
      </c>
      <c r="O200" s="16"/>
      <c r="P200" s="17">
        <f t="shared" si="67"/>
        <v>0</v>
      </c>
      <c r="Q200">
        <f>Q199/(1+Assumptions!$E$8/12)</f>
        <v>0.54438940276689807</v>
      </c>
      <c r="S200" s="17">
        <f t="shared" si="68"/>
        <v>0</v>
      </c>
      <c r="T200" s="17">
        <f>T199*(1+$K$24)*Z200</f>
        <v>0</v>
      </c>
      <c r="U200" s="17">
        <f t="shared" si="69"/>
        <v>0</v>
      </c>
      <c r="V200" s="17">
        <f t="shared" si="70"/>
        <v>0</v>
      </c>
      <c r="W200" s="17">
        <f t="shared" si="71"/>
        <v>0</v>
      </c>
      <c r="Y200">
        <f>(MONTH(E200)=MONTH(Assumptions!$E$6))*(YEAR(Assumptions!$E$6)=YEAR('Rent v Mortgage'!E200))</f>
        <v>0</v>
      </c>
      <c r="Z200">
        <f>--(SUM($Y$28:Y199)&lt;1)*AA200</f>
        <v>0</v>
      </c>
      <c r="AA200">
        <f t="shared" si="72"/>
        <v>1</v>
      </c>
      <c r="AB200" s="20"/>
      <c r="AC200">
        <f t="shared" si="73"/>
        <v>172</v>
      </c>
      <c r="AD200">
        <f t="shared" si="74"/>
        <v>2039</v>
      </c>
      <c r="AE200" s="12">
        <f t="shared" si="75"/>
        <v>51075</v>
      </c>
      <c r="AG200" s="19">
        <f t="shared" si="76"/>
        <v>0</v>
      </c>
      <c r="AH200" s="19">
        <f t="shared" si="77"/>
        <v>0</v>
      </c>
      <c r="AI200" s="19">
        <f t="shared" si="78"/>
        <v>0</v>
      </c>
      <c r="AK200" s="19">
        <f t="shared" si="79"/>
        <v>0</v>
      </c>
      <c r="AL200" s="19">
        <f ca="1">(IF(MOD(AC200,($AE$15*12)),0,$AG200-IFERROR(SUM(OFFSET(AL199,,,-$AE$15*12)),0))-SUM($AL$28:AL199)*(Z201=0))*(Z200=1)</f>
        <v>0</v>
      </c>
      <c r="AM200" s="19">
        <f t="shared" si="80"/>
        <v>0</v>
      </c>
      <c r="AN200" s="19">
        <f t="shared" si="81"/>
        <v>0</v>
      </c>
      <c r="AP200" s="19">
        <f t="shared" ca="1" si="55"/>
        <v>0</v>
      </c>
      <c r="AQ200" s="18">
        <f t="shared" si="56"/>
        <v>0.54438940276689807</v>
      </c>
    </row>
    <row r="201" spans="3:43" x14ac:dyDescent="0.25">
      <c r="C201">
        <f t="shared" si="57"/>
        <v>173</v>
      </c>
      <c r="D201">
        <f t="shared" si="58"/>
        <v>14</v>
      </c>
      <c r="E201" s="12">
        <f t="shared" si="59"/>
        <v>51105</v>
      </c>
      <c r="F201" s="12"/>
      <c r="G201" s="15">
        <f t="shared" si="60"/>
        <v>0</v>
      </c>
      <c r="H201" s="15">
        <f t="shared" si="61"/>
        <v>0</v>
      </c>
      <c r="I201" s="15"/>
      <c r="J201" s="16">
        <f t="shared" si="62"/>
        <v>0</v>
      </c>
      <c r="K201" s="16">
        <f t="shared" si="63"/>
        <v>0</v>
      </c>
      <c r="L201">
        <f t="shared" si="64"/>
        <v>0</v>
      </c>
      <c r="M201">
        <f t="shared" si="65"/>
        <v>0</v>
      </c>
      <c r="N201" s="16">
        <f t="shared" si="66"/>
        <v>0</v>
      </c>
      <c r="O201" s="16"/>
      <c r="P201" s="17">
        <f t="shared" si="67"/>
        <v>0</v>
      </c>
      <c r="Q201">
        <f>Q200/(1+Assumptions!$E$8/12)</f>
        <v>0.54246816136207399</v>
      </c>
      <c r="S201" s="17">
        <f t="shared" si="68"/>
        <v>0</v>
      </c>
      <c r="T201" s="17">
        <f>T200*(1+$K$24)*Z201</f>
        <v>0</v>
      </c>
      <c r="U201" s="17">
        <f t="shared" si="69"/>
        <v>0</v>
      </c>
      <c r="V201" s="17">
        <f t="shared" si="70"/>
        <v>0</v>
      </c>
      <c r="W201" s="17">
        <f t="shared" si="71"/>
        <v>0</v>
      </c>
      <c r="Y201">
        <f>(MONTH(E201)=MONTH(Assumptions!$E$6))*(YEAR(Assumptions!$E$6)=YEAR('Rent v Mortgage'!E201))</f>
        <v>0</v>
      </c>
      <c r="Z201">
        <f>--(SUM($Y$28:Y200)&lt;1)*AA201</f>
        <v>0</v>
      </c>
      <c r="AA201">
        <f t="shared" si="72"/>
        <v>1</v>
      </c>
      <c r="AB201" s="20"/>
      <c r="AC201">
        <f t="shared" si="73"/>
        <v>173</v>
      </c>
      <c r="AD201">
        <f t="shared" si="74"/>
        <v>2039</v>
      </c>
      <c r="AE201" s="12">
        <f t="shared" si="75"/>
        <v>51105</v>
      </c>
      <c r="AG201" s="19">
        <f t="shared" si="76"/>
        <v>0</v>
      </c>
      <c r="AH201" s="19">
        <f t="shared" si="77"/>
        <v>0</v>
      </c>
      <c r="AI201" s="19">
        <f t="shared" si="78"/>
        <v>0</v>
      </c>
      <c r="AK201" s="19">
        <f t="shared" si="79"/>
        <v>0</v>
      </c>
      <c r="AL201" s="19">
        <f ca="1">(IF(MOD(AC201,($AE$15*12)),0,$AG201-IFERROR(SUM(OFFSET(AL200,,,-$AE$15*12)),0))-SUM($AL$28:AL200)*(Z202=0))*(Z201=1)</f>
        <v>0</v>
      </c>
      <c r="AM201" s="19">
        <f t="shared" si="80"/>
        <v>0</v>
      </c>
      <c r="AN201" s="19">
        <f t="shared" si="81"/>
        <v>0</v>
      </c>
      <c r="AP201" s="19">
        <f t="shared" ca="1" si="55"/>
        <v>0</v>
      </c>
      <c r="AQ201" s="18">
        <f t="shared" si="56"/>
        <v>0.54246816136207399</v>
      </c>
    </row>
    <row r="202" spans="3:43" x14ac:dyDescent="0.25">
      <c r="C202">
        <f t="shared" si="57"/>
        <v>174</v>
      </c>
      <c r="D202">
        <f t="shared" si="58"/>
        <v>14</v>
      </c>
      <c r="E202" s="12">
        <f t="shared" si="59"/>
        <v>51136</v>
      </c>
      <c r="F202" s="12"/>
      <c r="G202" s="15">
        <f t="shared" si="60"/>
        <v>0</v>
      </c>
      <c r="H202" s="15">
        <f t="shared" si="61"/>
        <v>0</v>
      </c>
      <c r="I202" s="15"/>
      <c r="J202" s="16">
        <f t="shared" si="62"/>
        <v>0</v>
      </c>
      <c r="K202" s="16">
        <f t="shared" si="63"/>
        <v>0</v>
      </c>
      <c r="L202">
        <f t="shared" si="64"/>
        <v>0</v>
      </c>
      <c r="M202">
        <f t="shared" si="65"/>
        <v>0</v>
      </c>
      <c r="N202" s="16">
        <f t="shared" si="66"/>
        <v>0</v>
      </c>
      <c r="O202" s="16"/>
      <c r="P202" s="17">
        <f t="shared" si="67"/>
        <v>0</v>
      </c>
      <c r="Q202">
        <f>Q201/(1+Assumptions!$E$8/12)</f>
        <v>0.54055370034003625</v>
      </c>
      <c r="S202" s="17">
        <f t="shared" si="68"/>
        <v>0</v>
      </c>
      <c r="T202" s="17">
        <f>T201*(1+$K$24)*Z202</f>
        <v>0</v>
      </c>
      <c r="U202" s="17">
        <f t="shared" si="69"/>
        <v>0</v>
      </c>
      <c r="V202" s="17">
        <f t="shared" si="70"/>
        <v>0</v>
      </c>
      <c r="W202" s="17">
        <f t="shared" si="71"/>
        <v>0</v>
      </c>
      <c r="Y202">
        <f>(MONTH(E202)=MONTH(Assumptions!$E$6))*(YEAR(Assumptions!$E$6)=YEAR('Rent v Mortgage'!E202))</f>
        <v>0</v>
      </c>
      <c r="Z202">
        <f>--(SUM($Y$28:Y201)&lt;1)*AA202</f>
        <v>0</v>
      </c>
      <c r="AA202">
        <f t="shared" si="72"/>
        <v>1</v>
      </c>
      <c r="AB202" s="20"/>
      <c r="AC202">
        <f t="shared" si="73"/>
        <v>174</v>
      </c>
      <c r="AD202">
        <f t="shared" si="74"/>
        <v>2040</v>
      </c>
      <c r="AE202" s="12">
        <f t="shared" si="75"/>
        <v>51136</v>
      </c>
      <c r="AG202" s="19">
        <f t="shared" si="76"/>
        <v>0</v>
      </c>
      <c r="AH202" s="19">
        <f t="shared" si="77"/>
        <v>0</v>
      </c>
      <c r="AI202" s="19">
        <f t="shared" si="78"/>
        <v>0</v>
      </c>
      <c r="AK202" s="19">
        <f t="shared" si="79"/>
        <v>0</v>
      </c>
      <c r="AL202" s="19">
        <f ca="1">(IF(MOD(AC202,($AE$15*12)),0,$AG202-IFERROR(SUM(OFFSET(AL201,,,-$AE$15*12)),0))-SUM($AL$28:AL201)*(Z203=0))*(Z202=1)</f>
        <v>0</v>
      </c>
      <c r="AM202" s="19">
        <f t="shared" si="80"/>
        <v>0</v>
      </c>
      <c r="AN202" s="19">
        <f t="shared" si="81"/>
        <v>0</v>
      </c>
      <c r="AP202" s="19">
        <f t="shared" ca="1" si="55"/>
        <v>0</v>
      </c>
      <c r="AQ202" s="18">
        <f t="shared" si="56"/>
        <v>0.54055370034003625</v>
      </c>
    </row>
    <row r="203" spans="3:43" x14ac:dyDescent="0.25">
      <c r="C203">
        <f t="shared" si="57"/>
        <v>175</v>
      </c>
      <c r="D203">
        <f t="shared" si="58"/>
        <v>14</v>
      </c>
      <c r="E203" s="12">
        <f t="shared" si="59"/>
        <v>51167</v>
      </c>
      <c r="F203" s="12"/>
      <c r="G203" s="15">
        <f t="shared" si="60"/>
        <v>0</v>
      </c>
      <c r="H203" s="15">
        <f t="shared" si="61"/>
        <v>0</v>
      </c>
      <c r="I203" s="15"/>
      <c r="J203" s="16">
        <f t="shared" si="62"/>
        <v>0</v>
      </c>
      <c r="K203" s="16">
        <f t="shared" si="63"/>
        <v>0</v>
      </c>
      <c r="L203">
        <f t="shared" si="64"/>
        <v>0</v>
      </c>
      <c r="M203">
        <f t="shared" si="65"/>
        <v>0</v>
      </c>
      <c r="N203" s="16">
        <f t="shared" si="66"/>
        <v>0</v>
      </c>
      <c r="O203" s="16"/>
      <c r="P203" s="17">
        <f t="shared" si="67"/>
        <v>0</v>
      </c>
      <c r="Q203">
        <f>Q202/(1+Assumptions!$E$8/12)</f>
        <v>0.53864599577167815</v>
      </c>
      <c r="S203" s="17">
        <f t="shared" si="68"/>
        <v>0</v>
      </c>
      <c r="T203" s="17">
        <f>T202*(1+$K$24)*Z203</f>
        <v>0</v>
      </c>
      <c r="U203" s="17">
        <f t="shared" si="69"/>
        <v>0</v>
      </c>
      <c r="V203" s="17">
        <f t="shared" si="70"/>
        <v>0</v>
      </c>
      <c r="W203" s="17">
        <f t="shared" si="71"/>
        <v>0</v>
      </c>
      <c r="Y203">
        <f>(MONTH(E203)=MONTH(Assumptions!$E$6))*(YEAR(Assumptions!$E$6)=YEAR('Rent v Mortgage'!E203))</f>
        <v>0</v>
      </c>
      <c r="Z203">
        <f>--(SUM($Y$28:Y202)&lt;1)*AA203</f>
        <v>0</v>
      </c>
      <c r="AA203">
        <f t="shared" si="72"/>
        <v>1</v>
      </c>
      <c r="AB203" s="20"/>
      <c r="AC203">
        <f t="shared" si="73"/>
        <v>175</v>
      </c>
      <c r="AD203">
        <f t="shared" si="74"/>
        <v>2040</v>
      </c>
      <c r="AE203" s="12">
        <f t="shared" si="75"/>
        <v>51167</v>
      </c>
      <c r="AG203" s="19">
        <f t="shared" si="76"/>
        <v>0</v>
      </c>
      <c r="AH203" s="19">
        <f t="shared" si="77"/>
        <v>0</v>
      </c>
      <c r="AI203" s="19">
        <f t="shared" si="78"/>
        <v>0</v>
      </c>
      <c r="AK203" s="19">
        <f t="shared" si="79"/>
        <v>0</v>
      </c>
      <c r="AL203" s="19">
        <f ca="1">(IF(MOD(AC203,($AE$15*12)),0,$AG203-IFERROR(SUM(OFFSET(AL202,,,-$AE$15*12)),0))-SUM($AL$28:AL202)*(Z204=0))*(Z203=1)</f>
        <v>0</v>
      </c>
      <c r="AM203" s="19">
        <f t="shared" si="80"/>
        <v>0</v>
      </c>
      <c r="AN203" s="19">
        <f t="shared" si="81"/>
        <v>0</v>
      </c>
      <c r="AP203" s="19">
        <f t="shared" ca="1" si="55"/>
        <v>0</v>
      </c>
      <c r="AQ203" s="18">
        <f t="shared" si="56"/>
        <v>0.53864599577167815</v>
      </c>
    </row>
    <row r="204" spans="3:43" x14ac:dyDescent="0.25">
      <c r="C204">
        <f t="shared" si="57"/>
        <v>176</v>
      </c>
      <c r="D204">
        <f t="shared" si="58"/>
        <v>14</v>
      </c>
      <c r="E204" s="12">
        <f t="shared" si="59"/>
        <v>51196</v>
      </c>
      <c r="F204" s="12"/>
      <c r="G204" s="15">
        <f t="shared" si="60"/>
        <v>0</v>
      </c>
      <c r="H204" s="15">
        <f t="shared" si="61"/>
        <v>0</v>
      </c>
      <c r="I204" s="15"/>
      <c r="J204" s="16">
        <f t="shared" si="62"/>
        <v>0</v>
      </c>
      <c r="K204" s="16">
        <f t="shared" si="63"/>
        <v>0</v>
      </c>
      <c r="L204">
        <f t="shared" si="64"/>
        <v>0</v>
      </c>
      <c r="M204">
        <f t="shared" si="65"/>
        <v>0</v>
      </c>
      <c r="N204" s="16">
        <f t="shared" si="66"/>
        <v>0</v>
      </c>
      <c r="O204" s="16"/>
      <c r="P204" s="17">
        <f t="shared" si="67"/>
        <v>0</v>
      </c>
      <c r="Q204">
        <f>Q203/(1+Assumptions!$E$8/12)</f>
        <v>0.53674502381234268</v>
      </c>
      <c r="S204" s="17">
        <f t="shared" si="68"/>
        <v>0</v>
      </c>
      <c r="T204" s="17">
        <f>T203*(1+$K$24)*Z204</f>
        <v>0</v>
      </c>
      <c r="U204" s="17">
        <f t="shared" si="69"/>
        <v>0</v>
      </c>
      <c r="V204" s="17">
        <f t="shared" si="70"/>
        <v>0</v>
      </c>
      <c r="W204" s="17">
        <f t="shared" si="71"/>
        <v>0</v>
      </c>
      <c r="Y204">
        <f>(MONTH(E204)=MONTH(Assumptions!$E$6))*(YEAR(Assumptions!$E$6)=YEAR('Rent v Mortgage'!E204))</f>
        <v>0</v>
      </c>
      <c r="Z204">
        <f>--(SUM($Y$28:Y203)&lt;1)*AA204</f>
        <v>0</v>
      </c>
      <c r="AA204">
        <f t="shared" si="72"/>
        <v>1</v>
      </c>
      <c r="AB204" s="20"/>
      <c r="AC204">
        <f t="shared" si="73"/>
        <v>176</v>
      </c>
      <c r="AD204">
        <f t="shared" si="74"/>
        <v>2040</v>
      </c>
      <c r="AE204" s="12">
        <f t="shared" si="75"/>
        <v>51196</v>
      </c>
      <c r="AG204" s="19">
        <f t="shared" si="76"/>
        <v>0</v>
      </c>
      <c r="AH204" s="19">
        <f t="shared" si="77"/>
        <v>0</v>
      </c>
      <c r="AI204" s="19">
        <f t="shared" si="78"/>
        <v>0</v>
      </c>
      <c r="AK204" s="19">
        <f t="shared" si="79"/>
        <v>0</v>
      </c>
      <c r="AL204" s="19">
        <f ca="1">(IF(MOD(AC204,($AE$15*12)),0,$AG204-IFERROR(SUM(OFFSET(AL203,,,-$AE$15*12)),0))-SUM($AL$28:AL203)*(Z205=0))*(Z204=1)</f>
        <v>0</v>
      </c>
      <c r="AM204" s="19">
        <f t="shared" si="80"/>
        <v>0</v>
      </c>
      <c r="AN204" s="19">
        <f t="shared" si="81"/>
        <v>0</v>
      </c>
      <c r="AP204" s="19">
        <f t="shared" ca="1" si="55"/>
        <v>0</v>
      </c>
      <c r="AQ204" s="18">
        <f t="shared" si="56"/>
        <v>0.53674502381234268</v>
      </c>
    </row>
    <row r="205" spans="3:43" x14ac:dyDescent="0.25">
      <c r="C205">
        <f t="shared" si="57"/>
        <v>177</v>
      </c>
      <c r="D205">
        <f t="shared" si="58"/>
        <v>14</v>
      </c>
      <c r="E205" s="12">
        <f t="shared" si="59"/>
        <v>51227</v>
      </c>
      <c r="F205" s="12"/>
      <c r="G205" s="15">
        <f t="shared" si="60"/>
        <v>0</v>
      </c>
      <c r="H205" s="15">
        <f t="shared" si="61"/>
        <v>0</v>
      </c>
      <c r="I205" s="15"/>
      <c r="J205" s="16">
        <f t="shared" si="62"/>
        <v>0</v>
      </c>
      <c r="K205" s="16">
        <f t="shared" si="63"/>
        <v>0</v>
      </c>
      <c r="L205">
        <f t="shared" si="64"/>
        <v>0</v>
      </c>
      <c r="M205">
        <f t="shared" si="65"/>
        <v>0</v>
      </c>
      <c r="N205" s="16">
        <f t="shared" si="66"/>
        <v>0</v>
      </c>
      <c r="O205" s="16"/>
      <c r="P205" s="17">
        <f t="shared" si="67"/>
        <v>0</v>
      </c>
      <c r="Q205">
        <f>Q204/(1+Assumptions!$E$8/12)</f>
        <v>0.53485076070152471</v>
      </c>
      <c r="S205" s="17">
        <f t="shared" si="68"/>
        <v>0</v>
      </c>
      <c r="T205" s="17">
        <f>T204*(1+$K$24)*Z205</f>
        <v>0</v>
      </c>
      <c r="U205" s="17">
        <f t="shared" si="69"/>
        <v>0</v>
      </c>
      <c r="V205" s="17">
        <f t="shared" si="70"/>
        <v>0</v>
      </c>
      <c r="W205" s="17">
        <f t="shared" si="71"/>
        <v>0</v>
      </c>
      <c r="Y205">
        <f>(MONTH(E205)=MONTH(Assumptions!$E$6))*(YEAR(Assumptions!$E$6)=YEAR('Rent v Mortgage'!E205))</f>
        <v>0</v>
      </c>
      <c r="Z205">
        <f>--(SUM($Y$28:Y204)&lt;1)*AA205</f>
        <v>0</v>
      </c>
      <c r="AA205">
        <f t="shared" si="72"/>
        <v>1</v>
      </c>
      <c r="AB205" s="20"/>
      <c r="AC205">
        <f t="shared" si="73"/>
        <v>177</v>
      </c>
      <c r="AD205">
        <f t="shared" si="74"/>
        <v>2040</v>
      </c>
      <c r="AE205" s="12">
        <f t="shared" si="75"/>
        <v>51227</v>
      </c>
      <c r="AG205" s="19">
        <f t="shared" si="76"/>
        <v>0</v>
      </c>
      <c r="AH205" s="19">
        <f t="shared" si="77"/>
        <v>0</v>
      </c>
      <c r="AI205" s="19">
        <f t="shared" si="78"/>
        <v>0</v>
      </c>
      <c r="AK205" s="19">
        <f t="shared" si="79"/>
        <v>0</v>
      </c>
      <c r="AL205" s="19">
        <f ca="1">(IF(MOD(AC205,($AE$15*12)),0,$AG205-IFERROR(SUM(OFFSET(AL204,,,-$AE$15*12)),0))-SUM($AL$28:AL204)*(Z206=0))*(Z205=1)</f>
        <v>0</v>
      </c>
      <c r="AM205" s="19">
        <f t="shared" si="80"/>
        <v>0</v>
      </c>
      <c r="AN205" s="19">
        <f t="shared" si="81"/>
        <v>0</v>
      </c>
      <c r="AP205" s="19">
        <f t="shared" ca="1" si="55"/>
        <v>0</v>
      </c>
      <c r="AQ205" s="18">
        <f t="shared" si="56"/>
        <v>0.53485076070152471</v>
      </c>
    </row>
    <row r="206" spans="3:43" x14ac:dyDescent="0.25">
      <c r="C206">
        <f t="shared" si="57"/>
        <v>178</v>
      </c>
      <c r="D206">
        <f t="shared" si="58"/>
        <v>14</v>
      </c>
      <c r="E206" s="12">
        <f t="shared" si="59"/>
        <v>51257</v>
      </c>
      <c r="F206" s="12"/>
      <c r="G206" s="15">
        <f t="shared" si="60"/>
        <v>0</v>
      </c>
      <c r="H206" s="15">
        <f t="shared" si="61"/>
        <v>0</v>
      </c>
      <c r="I206" s="15"/>
      <c r="J206" s="16">
        <f t="shared" si="62"/>
        <v>0</v>
      </c>
      <c r="K206" s="16">
        <f t="shared" si="63"/>
        <v>0</v>
      </c>
      <c r="L206">
        <f t="shared" si="64"/>
        <v>0</v>
      </c>
      <c r="M206">
        <f t="shared" si="65"/>
        <v>0</v>
      </c>
      <c r="N206" s="16">
        <f t="shared" si="66"/>
        <v>0</v>
      </c>
      <c r="O206" s="16"/>
      <c r="P206" s="17">
        <f t="shared" si="67"/>
        <v>0</v>
      </c>
      <c r="Q206">
        <f>Q205/(1+Assumptions!$E$8/12)</f>
        <v>0.53296318276257382</v>
      </c>
      <c r="S206" s="17">
        <f t="shared" si="68"/>
        <v>0</v>
      </c>
      <c r="T206" s="17">
        <f>T205*(1+$K$24)*Z206</f>
        <v>0</v>
      </c>
      <c r="U206" s="17">
        <f t="shared" si="69"/>
        <v>0</v>
      </c>
      <c r="V206" s="17">
        <f t="shared" si="70"/>
        <v>0</v>
      </c>
      <c r="W206" s="17">
        <f t="shared" si="71"/>
        <v>0</v>
      </c>
      <c r="Y206">
        <f>(MONTH(E206)=MONTH(Assumptions!$E$6))*(YEAR(Assumptions!$E$6)=YEAR('Rent v Mortgage'!E206))</f>
        <v>0</v>
      </c>
      <c r="Z206">
        <f>--(SUM($Y$28:Y205)&lt;1)*AA206</f>
        <v>0</v>
      </c>
      <c r="AA206">
        <f t="shared" si="72"/>
        <v>1</v>
      </c>
      <c r="AB206" s="20"/>
      <c r="AC206">
        <f t="shared" si="73"/>
        <v>178</v>
      </c>
      <c r="AD206">
        <f t="shared" si="74"/>
        <v>2040</v>
      </c>
      <c r="AE206" s="12">
        <f t="shared" si="75"/>
        <v>51257</v>
      </c>
      <c r="AG206" s="19">
        <f t="shared" si="76"/>
        <v>0</v>
      </c>
      <c r="AH206" s="19">
        <f t="shared" si="77"/>
        <v>0</v>
      </c>
      <c r="AI206" s="19">
        <f t="shared" si="78"/>
        <v>0</v>
      </c>
      <c r="AK206" s="19">
        <f t="shared" si="79"/>
        <v>0</v>
      </c>
      <c r="AL206" s="19">
        <f ca="1">(IF(MOD(AC206,($AE$15*12)),0,$AG206-IFERROR(SUM(OFFSET(AL205,,,-$AE$15*12)),0))-SUM($AL$28:AL205)*(Z207=0))*(Z206=1)</f>
        <v>0</v>
      </c>
      <c r="AM206" s="19">
        <f t="shared" si="80"/>
        <v>0</v>
      </c>
      <c r="AN206" s="19">
        <f t="shared" si="81"/>
        <v>0</v>
      </c>
      <c r="AP206" s="19">
        <f t="shared" ca="1" si="55"/>
        <v>0</v>
      </c>
      <c r="AQ206" s="18">
        <f t="shared" si="56"/>
        <v>0.53296318276257382</v>
      </c>
    </row>
    <row r="207" spans="3:43" x14ac:dyDescent="0.25">
      <c r="C207">
        <f t="shared" si="57"/>
        <v>179</v>
      </c>
      <c r="D207">
        <f t="shared" si="58"/>
        <v>14</v>
      </c>
      <c r="E207" s="12">
        <f t="shared" si="59"/>
        <v>51288</v>
      </c>
      <c r="F207" s="12"/>
      <c r="G207" s="15">
        <f t="shared" si="60"/>
        <v>0</v>
      </c>
      <c r="H207" s="15">
        <f t="shared" si="61"/>
        <v>0</v>
      </c>
      <c r="I207" s="15"/>
      <c r="J207" s="16">
        <f t="shared" si="62"/>
        <v>0</v>
      </c>
      <c r="K207" s="16">
        <f t="shared" si="63"/>
        <v>0</v>
      </c>
      <c r="L207">
        <f t="shared" si="64"/>
        <v>0</v>
      </c>
      <c r="M207">
        <f t="shared" si="65"/>
        <v>0</v>
      </c>
      <c r="N207" s="16">
        <f t="shared" si="66"/>
        <v>0</v>
      </c>
      <c r="O207" s="16"/>
      <c r="P207" s="17">
        <f t="shared" si="67"/>
        <v>0</v>
      </c>
      <c r="Q207">
        <f>Q206/(1+Assumptions!$E$8/12)</f>
        <v>0.53108226640239864</v>
      </c>
      <c r="S207" s="17">
        <f t="shared" si="68"/>
        <v>0</v>
      </c>
      <c r="T207" s="17">
        <f>T206*(1+$K$24)*Z207</f>
        <v>0</v>
      </c>
      <c r="U207" s="17">
        <f t="shared" si="69"/>
        <v>0</v>
      </c>
      <c r="V207" s="17">
        <f t="shared" si="70"/>
        <v>0</v>
      </c>
      <c r="W207" s="17">
        <f t="shared" si="71"/>
        <v>0</v>
      </c>
      <c r="Y207">
        <f>(MONTH(E207)=MONTH(Assumptions!$E$6))*(YEAR(Assumptions!$E$6)=YEAR('Rent v Mortgage'!E207))</f>
        <v>0</v>
      </c>
      <c r="Z207">
        <f>--(SUM($Y$28:Y206)&lt;1)*AA207</f>
        <v>0</v>
      </c>
      <c r="AA207">
        <f t="shared" si="72"/>
        <v>1</v>
      </c>
      <c r="AB207" s="20"/>
      <c r="AC207">
        <f t="shared" si="73"/>
        <v>179</v>
      </c>
      <c r="AD207">
        <f t="shared" si="74"/>
        <v>2040</v>
      </c>
      <c r="AE207" s="12">
        <f t="shared" si="75"/>
        <v>51288</v>
      </c>
      <c r="AG207" s="19">
        <f t="shared" si="76"/>
        <v>0</v>
      </c>
      <c r="AH207" s="19">
        <f t="shared" si="77"/>
        <v>0</v>
      </c>
      <c r="AI207" s="19">
        <f t="shared" si="78"/>
        <v>0</v>
      </c>
      <c r="AK207" s="19">
        <f t="shared" si="79"/>
        <v>0</v>
      </c>
      <c r="AL207" s="19">
        <f ca="1">(IF(MOD(AC207,($AE$15*12)),0,$AG207-IFERROR(SUM(OFFSET(AL206,,,-$AE$15*12)),0))-SUM($AL$28:AL206)*(Z208=0))*(Z207=1)</f>
        <v>0</v>
      </c>
      <c r="AM207" s="19">
        <f t="shared" si="80"/>
        <v>0</v>
      </c>
      <c r="AN207" s="19">
        <f t="shared" si="81"/>
        <v>0</v>
      </c>
      <c r="AP207" s="19">
        <f t="shared" ca="1" si="55"/>
        <v>0</v>
      </c>
      <c r="AQ207" s="18">
        <f t="shared" si="56"/>
        <v>0.53108226640239864</v>
      </c>
    </row>
    <row r="208" spans="3:43" x14ac:dyDescent="0.25">
      <c r="C208">
        <f t="shared" si="57"/>
        <v>180</v>
      </c>
      <c r="D208">
        <f t="shared" si="58"/>
        <v>15</v>
      </c>
      <c r="E208" s="12">
        <f t="shared" si="59"/>
        <v>51318</v>
      </c>
      <c r="F208" s="12"/>
      <c r="G208" s="15">
        <f t="shared" si="60"/>
        <v>0</v>
      </c>
      <c r="H208" s="15">
        <f t="shared" si="61"/>
        <v>0</v>
      </c>
      <c r="I208" s="15"/>
      <c r="J208" s="16">
        <f t="shared" si="62"/>
        <v>0</v>
      </c>
      <c r="K208" s="16">
        <f t="shared" si="63"/>
        <v>0</v>
      </c>
      <c r="L208">
        <f t="shared" si="64"/>
        <v>0</v>
      </c>
      <c r="M208">
        <f t="shared" si="65"/>
        <v>0</v>
      </c>
      <c r="N208" s="16">
        <f t="shared" si="66"/>
        <v>0</v>
      </c>
      <c r="O208" s="16"/>
      <c r="P208" s="17">
        <f t="shared" si="67"/>
        <v>0</v>
      </c>
      <c r="Q208">
        <f>Q207/(1+Assumptions!$E$8/12)</f>
        <v>0.52920798811117153</v>
      </c>
      <c r="S208" s="17">
        <f t="shared" si="68"/>
        <v>0</v>
      </c>
      <c r="T208" s="17">
        <f>T207*(1+$K$24)*Z208</f>
        <v>0</v>
      </c>
      <c r="U208" s="17">
        <f t="shared" si="69"/>
        <v>0</v>
      </c>
      <c r="V208" s="17">
        <f t="shared" si="70"/>
        <v>0</v>
      </c>
      <c r="W208" s="17">
        <f t="shared" si="71"/>
        <v>0</v>
      </c>
      <c r="Y208">
        <f>(MONTH(E208)=MONTH(Assumptions!$E$6))*(YEAR(Assumptions!$E$6)=YEAR('Rent v Mortgage'!E208))</f>
        <v>0</v>
      </c>
      <c r="Z208">
        <f>--(SUM($Y$28:Y207)&lt;1)*AA208</f>
        <v>0</v>
      </c>
      <c r="AA208">
        <f t="shared" si="72"/>
        <v>1</v>
      </c>
      <c r="AB208" s="20"/>
      <c r="AC208">
        <f t="shared" si="73"/>
        <v>180</v>
      </c>
      <c r="AD208">
        <f t="shared" si="74"/>
        <v>2040</v>
      </c>
      <c r="AE208" s="12">
        <f t="shared" si="75"/>
        <v>51318</v>
      </c>
      <c r="AG208" s="19">
        <f t="shared" si="76"/>
        <v>0</v>
      </c>
      <c r="AH208" s="19">
        <f t="shared" si="77"/>
        <v>0</v>
      </c>
      <c r="AI208" s="19">
        <f t="shared" si="78"/>
        <v>0</v>
      </c>
      <c r="AK208" s="19">
        <f t="shared" si="79"/>
        <v>0</v>
      </c>
      <c r="AL208" s="19">
        <f ca="1">(IF(MOD(AC208,($AE$15*12)),0,$AG208-IFERROR(SUM(OFFSET(AL207,,,-$AE$15*12)),0))-SUM($AL$28:AL207)*(Z209=0))*(Z208=1)</f>
        <v>0</v>
      </c>
      <c r="AM208" s="19">
        <f t="shared" si="80"/>
        <v>0</v>
      </c>
      <c r="AN208" s="19">
        <f t="shared" si="81"/>
        <v>0</v>
      </c>
      <c r="AP208" s="19">
        <f t="shared" ca="1" si="55"/>
        <v>0</v>
      </c>
      <c r="AQ208" s="18">
        <f t="shared" si="56"/>
        <v>0.52920798811117153</v>
      </c>
    </row>
    <row r="209" spans="3:43" x14ac:dyDescent="0.25">
      <c r="C209">
        <f t="shared" si="57"/>
        <v>181</v>
      </c>
      <c r="D209">
        <f t="shared" si="58"/>
        <v>15</v>
      </c>
      <c r="E209" s="12">
        <f t="shared" si="59"/>
        <v>51349</v>
      </c>
      <c r="F209" s="12"/>
      <c r="G209" s="15">
        <f t="shared" si="60"/>
        <v>0</v>
      </c>
      <c r="H209" s="15">
        <f t="shared" si="61"/>
        <v>0</v>
      </c>
      <c r="I209" s="15"/>
      <c r="J209" s="16">
        <f t="shared" si="62"/>
        <v>0</v>
      </c>
      <c r="K209" s="16">
        <f t="shared" si="63"/>
        <v>0</v>
      </c>
      <c r="L209">
        <f t="shared" si="64"/>
        <v>0</v>
      </c>
      <c r="M209">
        <f t="shared" si="65"/>
        <v>0</v>
      </c>
      <c r="N209" s="16">
        <f t="shared" si="66"/>
        <v>0</v>
      </c>
      <c r="O209" s="16"/>
      <c r="P209" s="17">
        <f t="shared" si="67"/>
        <v>0</v>
      </c>
      <c r="Q209">
        <f>Q208/(1+Assumptions!$E$8/12)</f>
        <v>0.52734032446203505</v>
      </c>
      <c r="S209" s="17">
        <f t="shared" si="68"/>
        <v>0</v>
      </c>
      <c r="T209" s="17">
        <f>T208*(1+$K$24)*Z209</f>
        <v>0</v>
      </c>
      <c r="U209" s="17">
        <f t="shared" si="69"/>
        <v>0</v>
      </c>
      <c r="V209" s="17">
        <f t="shared" si="70"/>
        <v>0</v>
      </c>
      <c r="W209" s="17">
        <f t="shared" si="71"/>
        <v>0</v>
      </c>
      <c r="Y209">
        <f>(MONTH(E209)=MONTH(Assumptions!$E$6))*(YEAR(Assumptions!$E$6)=YEAR('Rent v Mortgage'!E209))</f>
        <v>0</v>
      </c>
      <c r="Z209">
        <f>--(SUM($Y$28:Y208)&lt;1)*AA209</f>
        <v>0</v>
      </c>
      <c r="AA209">
        <f t="shared" si="72"/>
        <v>1</v>
      </c>
      <c r="AB209" s="20"/>
      <c r="AC209">
        <f t="shared" si="73"/>
        <v>181</v>
      </c>
      <c r="AD209">
        <f t="shared" si="74"/>
        <v>2040</v>
      </c>
      <c r="AE209" s="12">
        <f t="shared" si="75"/>
        <v>51349</v>
      </c>
      <c r="AG209" s="19">
        <f t="shared" si="76"/>
        <v>0</v>
      </c>
      <c r="AH209" s="19">
        <f t="shared" si="77"/>
        <v>0</v>
      </c>
      <c r="AI209" s="19">
        <f t="shared" si="78"/>
        <v>0</v>
      </c>
      <c r="AK209" s="19">
        <f t="shared" si="79"/>
        <v>0</v>
      </c>
      <c r="AL209" s="19">
        <f ca="1">(IF(MOD(AC209,($AE$15*12)),0,$AG209-IFERROR(SUM(OFFSET(AL208,,,-$AE$15*12)),0))-SUM($AL$28:AL208)*(Z210=0))*(Z209=1)</f>
        <v>0</v>
      </c>
      <c r="AM209" s="19">
        <f t="shared" si="80"/>
        <v>0</v>
      </c>
      <c r="AN209" s="19">
        <f t="shared" si="81"/>
        <v>0</v>
      </c>
      <c r="AP209" s="19">
        <f t="shared" ca="1" si="55"/>
        <v>0</v>
      </c>
      <c r="AQ209" s="18">
        <f t="shared" si="56"/>
        <v>0.52734032446203505</v>
      </c>
    </row>
    <row r="210" spans="3:43" x14ac:dyDescent="0.25">
      <c r="C210">
        <f t="shared" si="57"/>
        <v>182</v>
      </c>
      <c r="D210">
        <f t="shared" si="58"/>
        <v>15</v>
      </c>
      <c r="E210" s="12">
        <f t="shared" si="59"/>
        <v>51380</v>
      </c>
      <c r="F210" s="12"/>
      <c r="G210" s="15">
        <f t="shared" si="60"/>
        <v>0</v>
      </c>
      <c r="H210" s="15">
        <f t="shared" si="61"/>
        <v>0</v>
      </c>
      <c r="I210" s="15"/>
      <c r="J210" s="16">
        <f t="shared" si="62"/>
        <v>0</v>
      </c>
      <c r="K210" s="16">
        <f t="shared" si="63"/>
        <v>0</v>
      </c>
      <c r="L210">
        <f t="shared" si="64"/>
        <v>0</v>
      </c>
      <c r="M210">
        <f t="shared" si="65"/>
        <v>0</v>
      </c>
      <c r="N210" s="16">
        <f t="shared" si="66"/>
        <v>0</v>
      </c>
      <c r="O210" s="16"/>
      <c r="P210" s="17">
        <f t="shared" si="67"/>
        <v>0</v>
      </c>
      <c r="Q210">
        <f>Q209/(1+Assumptions!$E$8/12)</f>
        <v>0.52547925211080926</v>
      </c>
      <c r="S210" s="17">
        <f t="shared" si="68"/>
        <v>0</v>
      </c>
      <c r="T210" s="17">
        <f>T209*(1+$K$24)*Z210</f>
        <v>0</v>
      </c>
      <c r="U210" s="17">
        <f t="shared" si="69"/>
        <v>0</v>
      </c>
      <c r="V210" s="17">
        <f t="shared" si="70"/>
        <v>0</v>
      </c>
      <c r="W210" s="17">
        <f t="shared" si="71"/>
        <v>0</v>
      </c>
      <c r="Y210">
        <f>(MONTH(E210)=MONTH(Assumptions!$E$6))*(YEAR(Assumptions!$E$6)=YEAR('Rent v Mortgage'!E210))</f>
        <v>0</v>
      </c>
      <c r="Z210">
        <f>--(SUM($Y$28:Y209)&lt;1)*AA210</f>
        <v>0</v>
      </c>
      <c r="AA210">
        <f t="shared" si="72"/>
        <v>1</v>
      </c>
      <c r="AB210" s="20"/>
      <c r="AC210">
        <f t="shared" si="73"/>
        <v>182</v>
      </c>
      <c r="AD210">
        <f t="shared" si="74"/>
        <v>2040</v>
      </c>
      <c r="AE210" s="12">
        <f t="shared" si="75"/>
        <v>51380</v>
      </c>
      <c r="AG210" s="19">
        <f t="shared" si="76"/>
        <v>0</v>
      </c>
      <c r="AH210" s="19">
        <f t="shared" si="77"/>
        <v>0</v>
      </c>
      <c r="AI210" s="19">
        <f t="shared" si="78"/>
        <v>0</v>
      </c>
      <c r="AK210" s="19">
        <f t="shared" si="79"/>
        <v>0</v>
      </c>
      <c r="AL210" s="19">
        <f ca="1">(IF(MOD(AC210,($AE$15*12)),0,$AG210-IFERROR(SUM(OFFSET(AL209,,,-$AE$15*12)),0))-SUM($AL$28:AL209)*(Z211=0))*(Z210=1)</f>
        <v>0</v>
      </c>
      <c r="AM210" s="19">
        <f t="shared" si="80"/>
        <v>0</v>
      </c>
      <c r="AN210" s="19">
        <f t="shared" si="81"/>
        <v>0</v>
      </c>
      <c r="AP210" s="19">
        <f t="shared" ca="1" si="55"/>
        <v>0</v>
      </c>
      <c r="AQ210" s="18">
        <f t="shared" si="56"/>
        <v>0.52547925211080926</v>
      </c>
    </row>
    <row r="211" spans="3:43" x14ac:dyDescent="0.25">
      <c r="C211">
        <f t="shared" si="57"/>
        <v>183</v>
      </c>
      <c r="D211">
        <f t="shared" si="58"/>
        <v>15</v>
      </c>
      <c r="E211" s="12">
        <f t="shared" si="59"/>
        <v>51410</v>
      </c>
      <c r="F211" s="12"/>
      <c r="G211" s="15">
        <f t="shared" si="60"/>
        <v>0</v>
      </c>
      <c r="H211" s="15">
        <f t="shared" si="61"/>
        <v>0</v>
      </c>
      <c r="I211" s="15"/>
      <c r="J211" s="16">
        <f t="shared" si="62"/>
        <v>0</v>
      </c>
      <c r="K211" s="16">
        <f t="shared" si="63"/>
        <v>0</v>
      </c>
      <c r="L211">
        <f t="shared" si="64"/>
        <v>0</v>
      </c>
      <c r="M211">
        <f t="shared" si="65"/>
        <v>0</v>
      </c>
      <c r="N211" s="16">
        <f t="shared" si="66"/>
        <v>0</v>
      </c>
      <c r="O211" s="16"/>
      <c r="P211" s="17">
        <f t="shared" si="67"/>
        <v>0</v>
      </c>
      <c r="Q211">
        <f>Q210/(1+Assumptions!$E$8/12)</f>
        <v>0.52362474779569945</v>
      </c>
      <c r="S211" s="17">
        <f t="shared" si="68"/>
        <v>0</v>
      </c>
      <c r="T211" s="17">
        <f>T210*(1+$K$24)*Z211</f>
        <v>0</v>
      </c>
      <c r="U211" s="17">
        <f t="shared" si="69"/>
        <v>0</v>
      </c>
      <c r="V211" s="17">
        <f t="shared" si="70"/>
        <v>0</v>
      </c>
      <c r="W211" s="17">
        <f t="shared" si="71"/>
        <v>0</v>
      </c>
      <c r="Y211">
        <f>(MONTH(E211)=MONTH(Assumptions!$E$6))*(YEAR(Assumptions!$E$6)=YEAR('Rent v Mortgage'!E211))</f>
        <v>0</v>
      </c>
      <c r="Z211">
        <f>--(SUM($Y$28:Y210)&lt;1)*AA211</f>
        <v>0</v>
      </c>
      <c r="AA211">
        <f t="shared" si="72"/>
        <v>1</v>
      </c>
      <c r="AB211" s="20"/>
      <c r="AC211">
        <f t="shared" si="73"/>
        <v>183</v>
      </c>
      <c r="AD211">
        <f t="shared" si="74"/>
        <v>2040</v>
      </c>
      <c r="AE211" s="12">
        <f t="shared" si="75"/>
        <v>51410</v>
      </c>
      <c r="AG211" s="19">
        <f t="shared" si="76"/>
        <v>0</v>
      </c>
      <c r="AH211" s="19">
        <f t="shared" si="77"/>
        <v>0</v>
      </c>
      <c r="AI211" s="19">
        <f t="shared" si="78"/>
        <v>0</v>
      </c>
      <c r="AK211" s="19">
        <f t="shared" si="79"/>
        <v>0</v>
      </c>
      <c r="AL211" s="19">
        <f ca="1">(IF(MOD(AC211,($AE$15*12)),0,$AG211-IFERROR(SUM(OFFSET(AL210,,,-$AE$15*12)),0))-SUM($AL$28:AL210)*(Z212=0))*(Z211=1)</f>
        <v>0</v>
      </c>
      <c r="AM211" s="19">
        <f t="shared" si="80"/>
        <v>0</v>
      </c>
      <c r="AN211" s="19">
        <f t="shared" si="81"/>
        <v>0</v>
      </c>
      <c r="AP211" s="19">
        <f t="shared" ca="1" si="55"/>
        <v>0</v>
      </c>
      <c r="AQ211" s="18">
        <f t="shared" si="56"/>
        <v>0.52362474779569945</v>
      </c>
    </row>
    <row r="212" spans="3:43" x14ac:dyDescent="0.25">
      <c r="C212">
        <f t="shared" si="57"/>
        <v>184</v>
      </c>
      <c r="D212">
        <f t="shared" si="58"/>
        <v>15</v>
      </c>
      <c r="E212" s="12">
        <f t="shared" si="59"/>
        <v>51441</v>
      </c>
      <c r="F212" s="12"/>
      <c r="G212" s="15">
        <f t="shared" si="60"/>
        <v>0</v>
      </c>
      <c r="H212" s="15">
        <f t="shared" si="61"/>
        <v>0</v>
      </c>
      <c r="I212" s="15"/>
      <c r="J212" s="16">
        <f t="shared" si="62"/>
        <v>0</v>
      </c>
      <c r="K212" s="16">
        <f t="shared" si="63"/>
        <v>0</v>
      </c>
      <c r="L212">
        <f t="shared" si="64"/>
        <v>0</v>
      </c>
      <c r="M212">
        <f t="shared" si="65"/>
        <v>0</v>
      </c>
      <c r="N212" s="16">
        <f t="shared" si="66"/>
        <v>0</v>
      </c>
      <c r="O212" s="16"/>
      <c r="P212" s="17">
        <f t="shared" si="67"/>
        <v>0</v>
      </c>
      <c r="Q212">
        <f>Q211/(1+Assumptions!$E$8/12)</f>
        <v>0.5217767883370058</v>
      </c>
      <c r="S212" s="17">
        <f t="shared" si="68"/>
        <v>0</v>
      </c>
      <c r="T212" s="17">
        <f>T211*(1+$K$24)*Z212</f>
        <v>0</v>
      </c>
      <c r="U212" s="17">
        <f t="shared" si="69"/>
        <v>0</v>
      </c>
      <c r="V212" s="17">
        <f t="shared" si="70"/>
        <v>0</v>
      </c>
      <c r="W212" s="17">
        <f t="shared" si="71"/>
        <v>0</v>
      </c>
      <c r="Y212">
        <f>(MONTH(E212)=MONTH(Assumptions!$E$6))*(YEAR(Assumptions!$E$6)=YEAR('Rent v Mortgage'!E212))</f>
        <v>0</v>
      </c>
      <c r="Z212">
        <f>--(SUM($Y$28:Y211)&lt;1)*AA212</f>
        <v>0</v>
      </c>
      <c r="AA212">
        <f t="shared" si="72"/>
        <v>1</v>
      </c>
      <c r="AB212" s="20"/>
      <c r="AC212">
        <f t="shared" si="73"/>
        <v>184</v>
      </c>
      <c r="AD212">
        <f t="shared" si="74"/>
        <v>2040</v>
      </c>
      <c r="AE212" s="12">
        <f t="shared" si="75"/>
        <v>51441</v>
      </c>
      <c r="AG212" s="19">
        <f t="shared" si="76"/>
        <v>0</v>
      </c>
      <c r="AH212" s="19">
        <f t="shared" si="77"/>
        <v>0</v>
      </c>
      <c r="AI212" s="19">
        <f t="shared" si="78"/>
        <v>0</v>
      </c>
      <c r="AK212" s="19">
        <f t="shared" si="79"/>
        <v>0</v>
      </c>
      <c r="AL212" s="19">
        <f ca="1">(IF(MOD(AC212,($AE$15*12)),0,$AG212-IFERROR(SUM(OFFSET(AL211,,,-$AE$15*12)),0))-SUM($AL$28:AL211)*(Z213=0))*(Z212=1)</f>
        <v>0</v>
      </c>
      <c r="AM212" s="19">
        <f t="shared" si="80"/>
        <v>0</v>
      </c>
      <c r="AN212" s="19">
        <f t="shared" si="81"/>
        <v>0</v>
      </c>
      <c r="AP212" s="19">
        <f t="shared" ca="1" si="55"/>
        <v>0</v>
      </c>
      <c r="AQ212" s="18">
        <f t="shared" si="56"/>
        <v>0.5217767883370058</v>
      </c>
    </row>
    <row r="213" spans="3:43" x14ac:dyDescent="0.25">
      <c r="C213">
        <f t="shared" si="57"/>
        <v>185</v>
      </c>
      <c r="D213">
        <f t="shared" si="58"/>
        <v>15</v>
      </c>
      <c r="E213" s="12">
        <f t="shared" si="59"/>
        <v>51471</v>
      </c>
      <c r="F213" s="12"/>
      <c r="G213" s="15">
        <f t="shared" si="60"/>
        <v>0</v>
      </c>
      <c r="H213" s="15">
        <f t="shared" si="61"/>
        <v>0</v>
      </c>
      <c r="I213" s="15"/>
      <c r="J213" s="16">
        <f t="shared" si="62"/>
        <v>0</v>
      </c>
      <c r="K213" s="16">
        <f t="shared" si="63"/>
        <v>0</v>
      </c>
      <c r="L213">
        <f t="shared" si="64"/>
        <v>0</v>
      </c>
      <c r="M213">
        <f t="shared" si="65"/>
        <v>0</v>
      </c>
      <c r="N213" s="16">
        <f t="shared" si="66"/>
        <v>0</v>
      </c>
      <c r="O213" s="16"/>
      <c r="P213" s="17">
        <f t="shared" si="67"/>
        <v>0</v>
      </c>
      <c r="Q213">
        <f>Q212/(1+Assumptions!$E$8/12)</f>
        <v>0.5199353506368336</v>
      </c>
      <c r="S213" s="17">
        <f t="shared" si="68"/>
        <v>0</v>
      </c>
      <c r="T213" s="17">
        <f>T212*(1+$K$24)*Z213</f>
        <v>0</v>
      </c>
      <c r="U213" s="17">
        <f t="shared" si="69"/>
        <v>0</v>
      </c>
      <c r="V213" s="17">
        <f t="shared" si="70"/>
        <v>0</v>
      </c>
      <c r="W213" s="17">
        <f t="shared" si="71"/>
        <v>0</v>
      </c>
      <c r="Y213">
        <f>(MONTH(E213)=MONTH(Assumptions!$E$6))*(YEAR(Assumptions!$E$6)=YEAR('Rent v Mortgage'!E213))</f>
        <v>0</v>
      </c>
      <c r="Z213">
        <f>--(SUM($Y$28:Y212)&lt;1)*AA213</f>
        <v>0</v>
      </c>
      <c r="AA213">
        <f t="shared" si="72"/>
        <v>1</v>
      </c>
      <c r="AB213" s="20"/>
      <c r="AC213">
        <f t="shared" si="73"/>
        <v>185</v>
      </c>
      <c r="AD213">
        <f t="shared" si="74"/>
        <v>2040</v>
      </c>
      <c r="AE213" s="12">
        <f t="shared" si="75"/>
        <v>51471</v>
      </c>
      <c r="AG213" s="19">
        <f t="shared" si="76"/>
        <v>0</v>
      </c>
      <c r="AH213" s="19">
        <f t="shared" si="77"/>
        <v>0</v>
      </c>
      <c r="AI213" s="19">
        <f t="shared" si="78"/>
        <v>0</v>
      </c>
      <c r="AK213" s="19">
        <f t="shared" si="79"/>
        <v>0</v>
      </c>
      <c r="AL213" s="19">
        <f ca="1">(IF(MOD(AC213,($AE$15*12)),0,$AG213-IFERROR(SUM(OFFSET(AL212,,,-$AE$15*12)),0))-SUM($AL$28:AL212)*(Z214=0))*(Z213=1)</f>
        <v>0</v>
      </c>
      <c r="AM213" s="19">
        <f t="shared" si="80"/>
        <v>0</v>
      </c>
      <c r="AN213" s="19">
        <f t="shared" si="81"/>
        <v>0</v>
      </c>
      <c r="AP213" s="19">
        <f t="shared" ca="1" si="55"/>
        <v>0</v>
      </c>
      <c r="AQ213" s="18">
        <f t="shared" si="56"/>
        <v>0.5199353506368336</v>
      </c>
    </row>
    <row r="214" spans="3:43" x14ac:dyDescent="0.25">
      <c r="C214">
        <f t="shared" si="57"/>
        <v>186</v>
      </c>
      <c r="D214">
        <f t="shared" si="58"/>
        <v>15</v>
      </c>
      <c r="E214" s="12">
        <f t="shared" si="59"/>
        <v>51502</v>
      </c>
      <c r="F214" s="12"/>
      <c r="G214" s="15">
        <f t="shared" si="60"/>
        <v>0</v>
      </c>
      <c r="H214" s="15">
        <f t="shared" si="61"/>
        <v>0</v>
      </c>
      <c r="I214" s="15"/>
      <c r="J214" s="16">
        <f t="shared" si="62"/>
        <v>0</v>
      </c>
      <c r="K214" s="16">
        <f t="shared" si="63"/>
        <v>0</v>
      </c>
      <c r="L214">
        <f t="shared" si="64"/>
        <v>0</v>
      </c>
      <c r="M214">
        <f t="shared" si="65"/>
        <v>0</v>
      </c>
      <c r="N214" s="16">
        <f t="shared" si="66"/>
        <v>0</v>
      </c>
      <c r="O214" s="16"/>
      <c r="P214" s="17">
        <f t="shared" si="67"/>
        <v>0</v>
      </c>
      <c r="Q214">
        <f>Q213/(1+Assumptions!$E$8/12)</f>
        <v>0.5181004116788045</v>
      </c>
      <c r="S214" s="17">
        <f t="shared" si="68"/>
        <v>0</v>
      </c>
      <c r="T214" s="17">
        <f>T213*(1+$K$24)*Z214</f>
        <v>0</v>
      </c>
      <c r="U214" s="17">
        <f t="shared" si="69"/>
        <v>0</v>
      </c>
      <c r="V214" s="17">
        <f t="shared" si="70"/>
        <v>0</v>
      </c>
      <c r="W214" s="17">
        <f t="shared" si="71"/>
        <v>0</v>
      </c>
      <c r="Y214">
        <f>(MONTH(E214)=MONTH(Assumptions!$E$6))*(YEAR(Assumptions!$E$6)=YEAR('Rent v Mortgage'!E214))</f>
        <v>0</v>
      </c>
      <c r="Z214">
        <f>--(SUM($Y$28:Y213)&lt;1)*AA214</f>
        <v>0</v>
      </c>
      <c r="AA214">
        <f t="shared" si="72"/>
        <v>1</v>
      </c>
      <c r="AB214" s="20"/>
      <c r="AC214">
        <f t="shared" si="73"/>
        <v>186</v>
      </c>
      <c r="AD214">
        <f t="shared" si="74"/>
        <v>2041</v>
      </c>
      <c r="AE214" s="12">
        <f t="shared" si="75"/>
        <v>51502</v>
      </c>
      <c r="AG214" s="19">
        <f t="shared" si="76"/>
        <v>0</v>
      </c>
      <c r="AH214" s="19">
        <f t="shared" si="77"/>
        <v>0</v>
      </c>
      <c r="AI214" s="19">
        <f t="shared" si="78"/>
        <v>0</v>
      </c>
      <c r="AK214" s="19">
        <f t="shared" si="79"/>
        <v>0</v>
      </c>
      <c r="AL214" s="19">
        <f ca="1">(IF(MOD(AC214,($AE$15*12)),0,$AG214-IFERROR(SUM(OFFSET(AL213,,,-$AE$15*12)),0))-SUM($AL$28:AL213)*(Z215=0))*(Z214=1)</f>
        <v>0</v>
      </c>
      <c r="AM214" s="19">
        <f t="shared" si="80"/>
        <v>0</v>
      </c>
      <c r="AN214" s="19">
        <f t="shared" si="81"/>
        <v>0</v>
      </c>
      <c r="AP214" s="19">
        <f t="shared" ca="1" si="55"/>
        <v>0</v>
      </c>
      <c r="AQ214" s="18">
        <f t="shared" si="56"/>
        <v>0.5181004116788045</v>
      </c>
    </row>
    <row r="215" spans="3:43" x14ac:dyDescent="0.25">
      <c r="C215">
        <f t="shared" si="57"/>
        <v>187</v>
      </c>
      <c r="D215">
        <f t="shared" si="58"/>
        <v>15</v>
      </c>
      <c r="E215" s="12">
        <f t="shared" si="59"/>
        <v>51533</v>
      </c>
      <c r="F215" s="12"/>
      <c r="G215" s="15">
        <f t="shared" si="60"/>
        <v>0</v>
      </c>
      <c r="H215" s="15">
        <f t="shared" si="61"/>
        <v>0</v>
      </c>
      <c r="I215" s="15"/>
      <c r="J215" s="16">
        <f t="shared" si="62"/>
        <v>0</v>
      </c>
      <c r="K215" s="16">
        <f t="shared" si="63"/>
        <v>0</v>
      </c>
      <c r="L215">
        <f t="shared" si="64"/>
        <v>0</v>
      </c>
      <c r="M215">
        <f t="shared" si="65"/>
        <v>0</v>
      </c>
      <c r="N215" s="16">
        <f t="shared" si="66"/>
        <v>0</v>
      </c>
      <c r="O215" s="16"/>
      <c r="P215" s="17">
        <f t="shared" si="67"/>
        <v>0</v>
      </c>
      <c r="Q215">
        <f>Q214/(1+Assumptions!$E$8/12)</f>
        <v>0.51627194852776859</v>
      </c>
      <c r="S215" s="17">
        <f t="shared" si="68"/>
        <v>0</v>
      </c>
      <c r="T215" s="17">
        <f>T214*(1+$K$24)*Z215</f>
        <v>0</v>
      </c>
      <c r="U215" s="17">
        <f t="shared" si="69"/>
        <v>0</v>
      </c>
      <c r="V215" s="17">
        <f t="shared" si="70"/>
        <v>0</v>
      </c>
      <c r="W215" s="17">
        <f t="shared" si="71"/>
        <v>0</v>
      </c>
      <c r="Y215">
        <f>(MONTH(E215)=MONTH(Assumptions!$E$6))*(YEAR(Assumptions!$E$6)=YEAR('Rent v Mortgage'!E215))</f>
        <v>0</v>
      </c>
      <c r="Z215">
        <f>--(SUM($Y$28:Y214)&lt;1)*AA215</f>
        <v>0</v>
      </c>
      <c r="AA215">
        <f t="shared" si="72"/>
        <v>1</v>
      </c>
      <c r="AB215" s="20"/>
      <c r="AC215">
        <f t="shared" si="73"/>
        <v>187</v>
      </c>
      <c r="AD215">
        <f t="shared" si="74"/>
        <v>2041</v>
      </c>
      <c r="AE215" s="12">
        <f t="shared" si="75"/>
        <v>51533</v>
      </c>
      <c r="AG215" s="19">
        <f t="shared" si="76"/>
        <v>0</v>
      </c>
      <c r="AH215" s="19">
        <f t="shared" si="77"/>
        <v>0</v>
      </c>
      <c r="AI215" s="19">
        <f t="shared" si="78"/>
        <v>0</v>
      </c>
      <c r="AK215" s="19">
        <f t="shared" si="79"/>
        <v>0</v>
      </c>
      <c r="AL215" s="19">
        <f ca="1">(IF(MOD(AC215,($AE$15*12)),0,$AG215-IFERROR(SUM(OFFSET(AL214,,,-$AE$15*12)),0))-SUM($AL$28:AL214)*(Z216=0))*(Z215=1)</f>
        <v>0</v>
      </c>
      <c r="AM215" s="19">
        <f t="shared" si="80"/>
        <v>0</v>
      </c>
      <c r="AN215" s="19">
        <f t="shared" si="81"/>
        <v>0</v>
      </c>
      <c r="AP215" s="19">
        <f t="shared" ca="1" si="55"/>
        <v>0</v>
      </c>
      <c r="AQ215" s="18">
        <f t="shared" si="56"/>
        <v>0.51627194852776859</v>
      </c>
    </row>
    <row r="216" spans="3:43" x14ac:dyDescent="0.25">
      <c r="C216">
        <f t="shared" si="57"/>
        <v>188</v>
      </c>
      <c r="D216">
        <f t="shared" si="58"/>
        <v>15</v>
      </c>
      <c r="E216" s="12">
        <f t="shared" si="59"/>
        <v>51561</v>
      </c>
      <c r="F216" s="12"/>
      <c r="G216" s="15">
        <f t="shared" si="60"/>
        <v>0</v>
      </c>
      <c r="H216" s="15">
        <f t="shared" si="61"/>
        <v>0</v>
      </c>
      <c r="I216" s="15"/>
      <c r="J216" s="16">
        <f t="shared" si="62"/>
        <v>0</v>
      </c>
      <c r="K216" s="16">
        <f t="shared" si="63"/>
        <v>0</v>
      </c>
      <c r="L216">
        <f t="shared" si="64"/>
        <v>0</v>
      </c>
      <c r="M216">
        <f t="shared" si="65"/>
        <v>0</v>
      </c>
      <c r="N216" s="16">
        <f t="shared" si="66"/>
        <v>0</v>
      </c>
      <c r="O216" s="16"/>
      <c r="P216" s="17">
        <f t="shared" si="67"/>
        <v>0</v>
      </c>
      <c r="Q216">
        <f>Q215/(1+Assumptions!$E$8/12)</f>
        <v>0.51444993832951813</v>
      </c>
      <c r="S216" s="17">
        <f t="shared" si="68"/>
        <v>0</v>
      </c>
      <c r="T216" s="17">
        <f>T215*(1+$K$24)*Z216</f>
        <v>0</v>
      </c>
      <c r="U216" s="17">
        <f t="shared" si="69"/>
        <v>0</v>
      </c>
      <c r="V216" s="17">
        <f t="shared" si="70"/>
        <v>0</v>
      </c>
      <c r="W216" s="17">
        <f t="shared" si="71"/>
        <v>0</v>
      </c>
      <c r="Y216">
        <f>(MONTH(E216)=MONTH(Assumptions!$E$6))*(YEAR(Assumptions!$E$6)=YEAR('Rent v Mortgage'!E216))</f>
        <v>0</v>
      </c>
      <c r="Z216">
        <f>--(SUM($Y$28:Y215)&lt;1)*AA216</f>
        <v>0</v>
      </c>
      <c r="AA216">
        <f t="shared" si="72"/>
        <v>1</v>
      </c>
      <c r="AB216" s="20"/>
      <c r="AC216">
        <f t="shared" si="73"/>
        <v>188</v>
      </c>
      <c r="AD216">
        <f t="shared" si="74"/>
        <v>2041</v>
      </c>
      <c r="AE216" s="12">
        <f t="shared" si="75"/>
        <v>51561</v>
      </c>
      <c r="AG216" s="19">
        <f t="shared" si="76"/>
        <v>0</v>
      </c>
      <c r="AH216" s="19">
        <f t="shared" si="77"/>
        <v>0</v>
      </c>
      <c r="AI216" s="19">
        <f t="shared" si="78"/>
        <v>0</v>
      </c>
      <c r="AK216" s="19">
        <f t="shared" si="79"/>
        <v>0</v>
      </c>
      <c r="AL216" s="19">
        <f ca="1">(IF(MOD(AC216,($AE$15*12)),0,$AG216-IFERROR(SUM(OFFSET(AL215,,,-$AE$15*12)),0))-SUM($AL$28:AL215)*(Z217=0))*(Z216=1)</f>
        <v>0</v>
      </c>
      <c r="AM216" s="19">
        <f t="shared" si="80"/>
        <v>0</v>
      </c>
      <c r="AN216" s="19">
        <f t="shared" si="81"/>
        <v>0</v>
      </c>
      <c r="AP216" s="19">
        <f t="shared" ca="1" si="55"/>
        <v>0</v>
      </c>
      <c r="AQ216" s="18">
        <f t="shared" si="56"/>
        <v>0.51444993832951813</v>
      </c>
    </row>
    <row r="217" spans="3:43" x14ac:dyDescent="0.25">
      <c r="C217">
        <f t="shared" si="57"/>
        <v>189</v>
      </c>
      <c r="D217">
        <f t="shared" si="58"/>
        <v>15</v>
      </c>
      <c r="E217" s="12">
        <f t="shared" si="59"/>
        <v>51592</v>
      </c>
      <c r="F217" s="12"/>
      <c r="G217" s="15">
        <f t="shared" si="60"/>
        <v>0</v>
      </c>
      <c r="H217" s="15">
        <f t="shared" si="61"/>
        <v>0</v>
      </c>
      <c r="I217" s="15"/>
      <c r="J217" s="16">
        <f t="shared" si="62"/>
        <v>0</v>
      </c>
      <c r="K217" s="16">
        <f t="shared" si="63"/>
        <v>0</v>
      </c>
      <c r="L217">
        <f t="shared" si="64"/>
        <v>0</v>
      </c>
      <c r="M217">
        <f t="shared" si="65"/>
        <v>0</v>
      </c>
      <c r="N217" s="16">
        <f t="shared" si="66"/>
        <v>0</v>
      </c>
      <c r="O217" s="16"/>
      <c r="P217" s="17">
        <f t="shared" si="67"/>
        <v>0</v>
      </c>
      <c r="Q217">
        <f>Q216/(1+Assumptions!$E$8/12)</f>
        <v>0.51263435831050175</v>
      </c>
      <c r="S217" s="17">
        <f t="shared" si="68"/>
        <v>0</v>
      </c>
      <c r="T217" s="17">
        <f>T216*(1+$K$24)*Z217</f>
        <v>0</v>
      </c>
      <c r="U217" s="17">
        <f t="shared" si="69"/>
        <v>0</v>
      </c>
      <c r="V217" s="17">
        <f t="shared" si="70"/>
        <v>0</v>
      </c>
      <c r="W217" s="17">
        <f t="shared" si="71"/>
        <v>0</v>
      </c>
      <c r="Y217">
        <f>(MONTH(E217)=MONTH(Assumptions!$E$6))*(YEAR(Assumptions!$E$6)=YEAR('Rent v Mortgage'!E217))</f>
        <v>0</v>
      </c>
      <c r="Z217">
        <f>--(SUM($Y$28:Y216)&lt;1)*AA217</f>
        <v>0</v>
      </c>
      <c r="AA217">
        <f t="shared" si="72"/>
        <v>1</v>
      </c>
      <c r="AB217" s="20"/>
      <c r="AC217">
        <f t="shared" si="73"/>
        <v>189</v>
      </c>
      <c r="AD217">
        <f t="shared" si="74"/>
        <v>2041</v>
      </c>
      <c r="AE217" s="12">
        <f t="shared" si="75"/>
        <v>51592</v>
      </c>
      <c r="AG217" s="19">
        <f t="shared" si="76"/>
        <v>0</v>
      </c>
      <c r="AH217" s="19">
        <f t="shared" si="77"/>
        <v>0</v>
      </c>
      <c r="AI217" s="19">
        <f t="shared" si="78"/>
        <v>0</v>
      </c>
      <c r="AK217" s="19">
        <f t="shared" si="79"/>
        <v>0</v>
      </c>
      <c r="AL217" s="19">
        <f ca="1">(IF(MOD(AC217,($AE$15*12)),0,$AG217-IFERROR(SUM(OFFSET(AL216,,,-$AE$15*12)),0))-SUM($AL$28:AL216)*(Z218=0))*(Z217=1)</f>
        <v>0</v>
      </c>
      <c r="AM217" s="19">
        <f t="shared" si="80"/>
        <v>0</v>
      </c>
      <c r="AN217" s="19">
        <f t="shared" si="81"/>
        <v>0</v>
      </c>
      <c r="AP217" s="19">
        <f t="shared" ca="1" si="55"/>
        <v>0</v>
      </c>
      <c r="AQ217" s="18">
        <f t="shared" si="56"/>
        <v>0.51263435831050175</v>
      </c>
    </row>
    <row r="218" spans="3:43" x14ac:dyDescent="0.25">
      <c r="C218">
        <f t="shared" si="57"/>
        <v>190</v>
      </c>
      <c r="D218">
        <f t="shared" si="58"/>
        <v>15</v>
      </c>
      <c r="E218" s="12">
        <f t="shared" si="59"/>
        <v>51622</v>
      </c>
      <c r="F218" s="12"/>
      <c r="G218" s="15">
        <f t="shared" si="60"/>
        <v>0</v>
      </c>
      <c r="H218" s="15">
        <f t="shared" si="61"/>
        <v>0</v>
      </c>
      <c r="I218" s="15"/>
      <c r="J218" s="16">
        <f t="shared" si="62"/>
        <v>0</v>
      </c>
      <c r="K218" s="16">
        <f t="shared" si="63"/>
        <v>0</v>
      </c>
      <c r="L218">
        <f t="shared" si="64"/>
        <v>0</v>
      </c>
      <c r="M218">
        <f t="shared" si="65"/>
        <v>0</v>
      </c>
      <c r="N218" s="16">
        <f t="shared" si="66"/>
        <v>0</v>
      </c>
      <c r="O218" s="16"/>
      <c r="P218" s="17">
        <f t="shared" si="67"/>
        <v>0</v>
      </c>
      <c r="Q218">
        <f>Q217/(1+Assumptions!$E$8/12)</f>
        <v>0.51082518577753955</v>
      </c>
      <c r="S218" s="17">
        <f t="shared" si="68"/>
        <v>0</v>
      </c>
      <c r="T218" s="17">
        <f>T217*(1+$K$24)*Z218</f>
        <v>0</v>
      </c>
      <c r="U218" s="17">
        <f t="shared" si="69"/>
        <v>0</v>
      </c>
      <c r="V218" s="17">
        <f t="shared" si="70"/>
        <v>0</v>
      </c>
      <c r="W218" s="17">
        <f t="shared" si="71"/>
        <v>0</v>
      </c>
      <c r="Y218">
        <f>(MONTH(E218)=MONTH(Assumptions!$E$6))*(YEAR(Assumptions!$E$6)=YEAR('Rent v Mortgage'!E218))</f>
        <v>0</v>
      </c>
      <c r="Z218">
        <f>--(SUM($Y$28:Y217)&lt;1)*AA218</f>
        <v>0</v>
      </c>
      <c r="AA218">
        <f t="shared" si="72"/>
        <v>1</v>
      </c>
      <c r="AB218" s="20"/>
      <c r="AC218">
        <f t="shared" si="73"/>
        <v>190</v>
      </c>
      <c r="AD218">
        <f t="shared" si="74"/>
        <v>2041</v>
      </c>
      <c r="AE218" s="12">
        <f t="shared" si="75"/>
        <v>51622</v>
      </c>
      <c r="AG218" s="19">
        <f t="shared" si="76"/>
        <v>0</v>
      </c>
      <c r="AH218" s="19">
        <f t="shared" si="77"/>
        <v>0</v>
      </c>
      <c r="AI218" s="19">
        <f t="shared" si="78"/>
        <v>0</v>
      </c>
      <c r="AK218" s="19">
        <f t="shared" si="79"/>
        <v>0</v>
      </c>
      <c r="AL218" s="19">
        <f ca="1">(IF(MOD(AC218,($AE$15*12)),0,$AG218-IFERROR(SUM(OFFSET(AL217,,,-$AE$15*12)),0))-SUM($AL$28:AL217)*(Z219=0))*(Z218=1)</f>
        <v>0</v>
      </c>
      <c r="AM218" s="19">
        <f t="shared" si="80"/>
        <v>0</v>
      </c>
      <c r="AN218" s="19">
        <f t="shared" si="81"/>
        <v>0</v>
      </c>
      <c r="AP218" s="19">
        <f t="shared" ca="1" si="55"/>
        <v>0</v>
      </c>
      <c r="AQ218" s="18">
        <f t="shared" si="56"/>
        <v>0.51082518577753955</v>
      </c>
    </row>
    <row r="219" spans="3:43" x14ac:dyDescent="0.25">
      <c r="C219">
        <f t="shared" si="57"/>
        <v>191</v>
      </c>
      <c r="D219">
        <f t="shared" si="58"/>
        <v>15</v>
      </c>
      <c r="E219" s="12">
        <f t="shared" si="59"/>
        <v>51653</v>
      </c>
      <c r="F219" s="12"/>
      <c r="G219" s="15">
        <f t="shared" si="60"/>
        <v>0</v>
      </c>
      <c r="H219" s="15">
        <f t="shared" si="61"/>
        <v>0</v>
      </c>
      <c r="I219" s="15"/>
      <c r="J219" s="16">
        <f t="shared" si="62"/>
        <v>0</v>
      </c>
      <c r="K219" s="16">
        <f t="shared" si="63"/>
        <v>0</v>
      </c>
      <c r="L219">
        <f t="shared" si="64"/>
        <v>0</v>
      </c>
      <c r="M219">
        <f t="shared" si="65"/>
        <v>0</v>
      </c>
      <c r="N219" s="16">
        <f t="shared" si="66"/>
        <v>0</v>
      </c>
      <c r="O219" s="16"/>
      <c r="P219" s="17">
        <f t="shared" si="67"/>
        <v>0</v>
      </c>
      <c r="Q219">
        <f>Q218/(1+Assumptions!$E$8/12)</f>
        <v>0.50902239811753991</v>
      </c>
      <c r="S219" s="17">
        <f t="shared" si="68"/>
        <v>0</v>
      </c>
      <c r="T219" s="17">
        <f>T218*(1+$K$24)*Z219</f>
        <v>0</v>
      </c>
      <c r="U219" s="17">
        <f t="shared" si="69"/>
        <v>0</v>
      </c>
      <c r="V219" s="17">
        <f t="shared" si="70"/>
        <v>0</v>
      </c>
      <c r="W219" s="17">
        <f t="shared" si="71"/>
        <v>0</v>
      </c>
      <c r="Y219">
        <f>(MONTH(E219)=MONTH(Assumptions!$E$6))*(YEAR(Assumptions!$E$6)=YEAR('Rent v Mortgage'!E219))</f>
        <v>0</v>
      </c>
      <c r="Z219">
        <f>--(SUM($Y$28:Y218)&lt;1)*AA219</f>
        <v>0</v>
      </c>
      <c r="AA219">
        <f t="shared" si="72"/>
        <v>1</v>
      </c>
      <c r="AB219" s="20"/>
      <c r="AC219">
        <f t="shared" si="73"/>
        <v>191</v>
      </c>
      <c r="AD219">
        <f t="shared" si="74"/>
        <v>2041</v>
      </c>
      <c r="AE219" s="12">
        <f t="shared" si="75"/>
        <v>51653</v>
      </c>
      <c r="AG219" s="19">
        <f t="shared" si="76"/>
        <v>0</v>
      </c>
      <c r="AH219" s="19">
        <f t="shared" si="77"/>
        <v>0</v>
      </c>
      <c r="AI219" s="19">
        <f t="shared" si="78"/>
        <v>0</v>
      </c>
      <c r="AK219" s="19">
        <f t="shared" si="79"/>
        <v>0</v>
      </c>
      <c r="AL219" s="19">
        <f ca="1">(IF(MOD(AC219,($AE$15*12)),0,$AG219-IFERROR(SUM(OFFSET(AL218,,,-$AE$15*12)),0))-SUM($AL$28:AL218)*(Z220=0))*(Z219=1)</f>
        <v>0</v>
      </c>
      <c r="AM219" s="19">
        <f t="shared" si="80"/>
        <v>0</v>
      </c>
      <c r="AN219" s="19">
        <f t="shared" si="81"/>
        <v>0</v>
      </c>
      <c r="AP219" s="19">
        <f t="shared" ca="1" si="55"/>
        <v>0</v>
      </c>
      <c r="AQ219" s="18">
        <f t="shared" si="56"/>
        <v>0.50902239811753991</v>
      </c>
    </row>
    <row r="220" spans="3:43" x14ac:dyDescent="0.25">
      <c r="C220">
        <f t="shared" si="57"/>
        <v>192</v>
      </c>
      <c r="D220">
        <f t="shared" si="58"/>
        <v>16</v>
      </c>
      <c r="E220" s="12">
        <f t="shared" si="59"/>
        <v>51683</v>
      </c>
      <c r="F220" s="12"/>
      <c r="G220" s="15">
        <f t="shared" si="60"/>
        <v>0</v>
      </c>
      <c r="H220" s="15">
        <f t="shared" si="61"/>
        <v>0</v>
      </c>
      <c r="I220" s="15"/>
      <c r="J220" s="16">
        <f t="shared" si="62"/>
        <v>0</v>
      </c>
      <c r="K220" s="16">
        <f t="shared" si="63"/>
        <v>0</v>
      </c>
      <c r="L220">
        <f t="shared" si="64"/>
        <v>0</v>
      </c>
      <c r="M220">
        <f t="shared" si="65"/>
        <v>0</v>
      </c>
      <c r="N220" s="16">
        <f t="shared" si="66"/>
        <v>0</v>
      </c>
      <c r="O220" s="16"/>
      <c r="P220" s="17">
        <f t="shared" si="67"/>
        <v>0</v>
      </c>
      <c r="Q220">
        <f>Q219/(1+Assumptions!$E$8/12)</f>
        <v>0.50722597279721637</v>
      </c>
      <c r="S220" s="17">
        <f t="shared" si="68"/>
        <v>0</v>
      </c>
      <c r="T220" s="17">
        <f>T219*(1+$K$24)*Z220</f>
        <v>0</v>
      </c>
      <c r="U220" s="17">
        <f t="shared" si="69"/>
        <v>0</v>
      </c>
      <c r="V220" s="17">
        <f t="shared" si="70"/>
        <v>0</v>
      </c>
      <c r="W220" s="17">
        <f t="shared" si="71"/>
        <v>0</v>
      </c>
      <c r="Y220">
        <f>(MONTH(E220)=MONTH(Assumptions!$E$6))*(YEAR(Assumptions!$E$6)=YEAR('Rent v Mortgage'!E220))</f>
        <v>0</v>
      </c>
      <c r="Z220">
        <f>--(SUM($Y$28:Y219)&lt;1)*AA220</f>
        <v>0</v>
      </c>
      <c r="AA220">
        <f t="shared" si="72"/>
        <v>1</v>
      </c>
      <c r="AB220" s="20"/>
      <c r="AC220">
        <f t="shared" si="73"/>
        <v>192</v>
      </c>
      <c r="AD220">
        <f t="shared" si="74"/>
        <v>2041</v>
      </c>
      <c r="AE220" s="12">
        <f t="shared" si="75"/>
        <v>51683</v>
      </c>
      <c r="AG220" s="19">
        <f t="shared" si="76"/>
        <v>0</v>
      </c>
      <c r="AH220" s="19">
        <f t="shared" si="77"/>
        <v>0</v>
      </c>
      <c r="AI220" s="19">
        <f t="shared" si="78"/>
        <v>0</v>
      </c>
      <c r="AK220" s="19">
        <f t="shared" si="79"/>
        <v>0</v>
      </c>
      <c r="AL220" s="19">
        <f ca="1">(IF(MOD(AC220,($AE$15*12)),0,$AG220-IFERROR(SUM(OFFSET(AL219,,,-$AE$15*12)),0))-SUM($AL$28:AL219)*(Z221=0))*(Z220=1)</f>
        <v>0</v>
      </c>
      <c r="AM220" s="19">
        <f t="shared" si="80"/>
        <v>0</v>
      </c>
      <c r="AN220" s="19">
        <f t="shared" si="81"/>
        <v>0</v>
      </c>
      <c r="AP220" s="19">
        <f t="shared" ca="1" si="55"/>
        <v>0</v>
      </c>
      <c r="AQ220" s="18">
        <f t="shared" si="56"/>
        <v>0.50722597279721637</v>
      </c>
    </row>
    <row r="221" spans="3:43" x14ac:dyDescent="0.25">
      <c r="C221">
        <f t="shared" si="57"/>
        <v>193</v>
      </c>
      <c r="D221">
        <f t="shared" si="58"/>
        <v>16</v>
      </c>
      <c r="E221" s="12">
        <f t="shared" si="59"/>
        <v>51714</v>
      </c>
      <c r="F221" s="12"/>
      <c r="G221" s="15">
        <f t="shared" si="60"/>
        <v>0</v>
      </c>
      <c r="H221" s="15">
        <f t="shared" si="61"/>
        <v>0</v>
      </c>
      <c r="I221" s="15"/>
      <c r="J221" s="16">
        <f t="shared" si="62"/>
        <v>0</v>
      </c>
      <c r="K221" s="16">
        <f t="shared" si="63"/>
        <v>0</v>
      </c>
      <c r="L221">
        <f t="shared" si="64"/>
        <v>0</v>
      </c>
      <c r="M221">
        <f t="shared" si="65"/>
        <v>0</v>
      </c>
      <c r="N221" s="16">
        <f t="shared" si="66"/>
        <v>0</v>
      </c>
      <c r="O221" s="16"/>
      <c r="P221" s="17">
        <f t="shared" si="67"/>
        <v>0</v>
      </c>
      <c r="Q221">
        <f>Q220/(1+Assumptions!$E$8/12)</f>
        <v>0.50543588736280642</v>
      </c>
      <c r="S221" s="17">
        <f t="shared" si="68"/>
        <v>0</v>
      </c>
      <c r="T221" s="17">
        <f>T220*(1+$K$24)*Z221</f>
        <v>0</v>
      </c>
      <c r="U221" s="17">
        <f t="shared" si="69"/>
        <v>0</v>
      </c>
      <c r="V221" s="17">
        <f t="shared" si="70"/>
        <v>0</v>
      </c>
      <c r="W221" s="17">
        <f t="shared" si="71"/>
        <v>0</v>
      </c>
      <c r="Y221">
        <f>(MONTH(E221)=MONTH(Assumptions!$E$6))*(YEAR(Assumptions!$E$6)=YEAR('Rent v Mortgage'!E221))</f>
        <v>0</v>
      </c>
      <c r="Z221">
        <f>--(SUM($Y$28:Y220)&lt;1)*AA221</f>
        <v>0</v>
      </c>
      <c r="AA221">
        <f t="shared" si="72"/>
        <v>1</v>
      </c>
      <c r="AB221" s="20"/>
      <c r="AC221">
        <f t="shared" si="73"/>
        <v>193</v>
      </c>
      <c r="AD221">
        <f t="shared" si="74"/>
        <v>2041</v>
      </c>
      <c r="AE221" s="12">
        <f t="shared" si="75"/>
        <v>51714</v>
      </c>
      <c r="AG221" s="19">
        <f t="shared" si="76"/>
        <v>0</v>
      </c>
      <c r="AH221" s="19">
        <f t="shared" si="77"/>
        <v>0</v>
      </c>
      <c r="AI221" s="19">
        <f t="shared" si="78"/>
        <v>0</v>
      </c>
      <c r="AK221" s="19">
        <f t="shared" si="79"/>
        <v>0</v>
      </c>
      <c r="AL221" s="19">
        <f ca="1">(IF(MOD(AC221,($AE$15*12)),0,$AG221-IFERROR(SUM(OFFSET(AL220,,,-$AE$15*12)),0))-SUM($AL$28:AL220)*(Z222=0))*(Z221=1)</f>
        <v>0</v>
      </c>
      <c r="AM221" s="19">
        <f t="shared" si="80"/>
        <v>0</v>
      </c>
      <c r="AN221" s="19">
        <f t="shared" si="81"/>
        <v>0</v>
      </c>
      <c r="AP221" s="19">
        <f t="shared" ref="AP221:AP284" ca="1" si="82">SUM(AG221:AN221)*-1</f>
        <v>0</v>
      </c>
      <c r="AQ221" s="18">
        <f t="shared" ref="AQ221:AQ284" si="83">Q221</f>
        <v>0.50543588736280642</v>
      </c>
    </row>
    <row r="222" spans="3:43" x14ac:dyDescent="0.25">
      <c r="C222">
        <f t="shared" ref="C222:C285" si="84">C221+1</f>
        <v>194</v>
      </c>
      <c r="D222">
        <f t="shared" ref="D222:D285" si="85">DATEDIF($E$28,E222,"y")</f>
        <v>16</v>
      </c>
      <c r="E222" s="12">
        <f t="shared" ref="E222:E285" si="86">EDATE(E221,1)</f>
        <v>51745</v>
      </c>
      <c r="F222" s="12"/>
      <c r="G222" s="15">
        <f t="shared" ref="G222:G285" si="87">IF(Z222,-PPMT($H$8/12,C222,$H$7*12,$H$5*(1-$H$9)),0)</f>
        <v>0</v>
      </c>
      <c r="H222" s="15">
        <f t="shared" ref="H222:H285" si="88">IF(Z222,($H$6-G222),0)</f>
        <v>0</v>
      </c>
      <c r="I222" s="15"/>
      <c r="J222" s="16">
        <f t="shared" ref="J222:J285" si="89">IF(Z222,($H$15*$H$5/12),0)</f>
        <v>0</v>
      </c>
      <c r="K222" s="16">
        <f t="shared" ref="K222:K285" si="90">IF(Z222,($H$14*$H$5/12),0)</f>
        <v>0</v>
      </c>
      <c r="L222">
        <f t="shared" ref="L222:L285" si="91">IF(MOD(C222,12),0,$H$16*T222)*Z222</f>
        <v>0</v>
      </c>
      <c r="M222">
        <f t="shared" ref="M222:M285" si="92">IF(MOD(C222,3),0,$H$13*S222/4)*Z222</f>
        <v>0</v>
      </c>
      <c r="N222" s="16">
        <f t="shared" ref="N222:N285" si="93">$H$21*Z222*$H$20</f>
        <v>0</v>
      </c>
      <c r="O222" s="16"/>
      <c r="P222" s="17">
        <f t="shared" ref="P222:P285" si="94">-SUM(G222:N222)+Y222*W222</f>
        <v>0</v>
      </c>
      <c r="Q222">
        <f>Q221/(1+Assumptions!$E$8/12)</f>
        <v>0.50365211943979049</v>
      </c>
      <c r="S222" s="17">
        <f t="shared" ref="S222:S285" si="95">IF(MOD(C222,12),S221,T222)*Z222</f>
        <v>0</v>
      </c>
      <c r="T222" s="17">
        <f>T221*(1+$K$24)*Z222</f>
        <v>0</v>
      </c>
      <c r="U222" s="17">
        <f t="shared" ref="U222:U285" si="96">V221*Z222</f>
        <v>0</v>
      </c>
      <c r="V222" s="17">
        <f t="shared" ref="V222:V285" si="97">U222-G222</f>
        <v>0</v>
      </c>
      <c r="W222" s="17">
        <f t="shared" ref="W222:W285" si="98">T222-V222</f>
        <v>0</v>
      </c>
      <c r="Y222">
        <f>(MONTH(E222)=MONTH(Assumptions!$E$6))*(YEAR(Assumptions!$E$6)=YEAR('Rent v Mortgage'!E222))</f>
        <v>0</v>
      </c>
      <c r="Z222">
        <f>--(SUM($Y$28:Y221)&lt;1)*AA222</f>
        <v>0</v>
      </c>
      <c r="AA222">
        <f t="shared" ref="AA222:AA285" si="99">(C222&lt;=$H$7*12)*1</f>
        <v>1</v>
      </c>
      <c r="AB222" s="20"/>
      <c r="AC222">
        <f t="shared" ref="AC222:AC285" si="100">C222</f>
        <v>194</v>
      </c>
      <c r="AD222">
        <f t="shared" ref="AD222:AD285" si="101">YEAR(AE222)</f>
        <v>2041</v>
      </c>
      <c r="AE222" s="12">
        <f t="shared" ref="AE222:AE285" si="102">E222</f>
        <v>51745</v>
      </c>
      <c r="AG222" s="19">
        <f t="shared" ref="AG222:AG285" si="103">AG221*(1+$AE$18*(MOD(AC222,12)=0))*Z222</f>
        <v>0</v>
      </c>
      <c r="AH222" s="19">
        <f t="shared" ref="AH222:AH285" si="104">$AE$7*$AG221*Z222</f>
        <v>0</v>
      </c>
      <c r="AI222" s="19">
        <f t="shared" ref="AI222:AI285" si="105">IF(MOD(AC222,12),0,$AE$8)*Z222</f>
        <v>0</v>
      </c>
      <c r="AK222" s="19">
        <f t="shared" ref="AK222:AK285" si="106">IF(MOD(AC222,($AE$15*12)),0,$AE$11)*Z222</f>
        <v>0</v>
      </c>
      <c r="AL222" s="19">
        <f ca="1">(IF(MOD(AC222,($AE$15*12)),0,$AG222-IFERROR(SUM(OFFSET(AL221,,,-$AE$15*12)),0))-SUM($AL$28:AL221)*(Z223=0))*(Z222=1)</f>
        <v>0</v>
      </c>
      <c r="AM222" s="19">
        <f t="shared" ref="AM222:AM285" si="107">IF(MOD(AC222,($AE$15*12)),0,$AE$13)*Z222</f>
        <v>0</v>
      </c>
      <c r="AN222" s="19">
        <f t="shared" ref="AN222:AN285" si="108">AG222*$AE$17*(Z223=0)</f>
        <v>0</v>
      </c>
      <c r="AP222" s="19">
        <f t="shared" ca="1" si="82"/>
        <v>0</v>
      </c>
      <c r="AQ222" s="18">
        <f t="shared" si="83"/>
        <v>0.50365211943979049</v>
      </c>
    </row>
    <row r="223" spans="3:43" x14ac:dyDescent="0.25">
      <c r="C223">
        <f t="shared" si="84"/>
        <v>195</v>
      </c>
      <c r="D223">
        <f t="shared" si="85"/>
        <v>16</v>
      </c>
      <c r="E223" s="12">
        <f t="shared" si="86"/>
        <v>51775</v>
      </c>
      <c r="F223" s="12"/>
      <c r="G223" s="15">
        <f t="shared" si="87"/>
        <v>0</v>
      </c>
      <c r="H223" s="15">
        <f t="shared" si="88"/>
        <v>0</v>
      </c>
      <c r="I223" s="15"/>
      <c r="J223" s="16">
        <f t="shared" si="89"/>
        <v>0</v>
      </c>
      <c r="K223" s="16">
        <f t="shared" si="90"/>
        <v>0</v>
      </c>
      <c r="L223">
        <f t="shared" si="91"/>
        <v>0</v>
      </c>
      <c r="M223">
        <f t="shared" si="92"/>
        <v>0</v>
      </c>
      <c r="N223" s="16">
        <f t="shared" si="93"/>
        <v>0</v>
      </c>
      <c r="O223" s="16"/>
      <c r="P223" s="17">
        <f t="shared" si="94"/>
        <v>0</v>
      </c>
      <c r="Q223">
        <f>Q222/(1+Assumptions!$E$8/12)</f>
        <v>0.5018746467326124</v>
      </c>
      <c r="S223" s="17">
        <f t="shared" si="95"/>
        <v>0</v>
      </c>
      <c r="T223" s="17">
        <f>T222*(1+$K$24)*Z223</f>
        <v>0</v>
      </c>
      <c r="U223" s="17">
        <f t="shared" si="96"/>
        <v>0</v>
      </c>
      <c r="V223" s="17">
        <f t="shared" si="97"/>
        <v>0</v>
      </c>
      <c r="W223" s="17">
        <f t="shared" si="98"/>
        <v>0</v>
      </c>
      <c r="Y223">
        <f>(MONTH(E223)=MONTH(Assumptions!$E$6))*(YEAR(Assumptions!$E$6)=YEAR('Rent v Mortgage'!E223))</f>
        <v>0</v>
      </c>
      <c r="Z223">
        <f>--(SUM($Y$28:Y222)&lt;1)*AA223</f>
        <v>0</v>
      </c>
      <c r="AA223">
        <f t="shared" si="99"/>
        <v>1</v>
      </c>
      <c r="AB223" s="20"/>
      <c r="AC223">
        <f t="shared" si="100"/>
        <v>195</v>
      </c>
      <c r="AD223">
        <f t="shared" si="101"/>
        <v>2041</v>
      </c>
      <c r="AE223" s="12">
        <f t="shared" si="102"/>
        <v>51775</v>
      </c>
      <c r="AG223" s="19">
        <f t="shared" si="103"/>
        <v>0</v>
      </c>
      <c r="AH223" s="19">
        <f t="shared" si="104"/>
        <v>0</v>
      </c>
      <c r="AI223" s="19">
        <f t="shared" si="105"/>
        <v>0</v>
      </c>
      <c r="AK223" s="19">
        <f t="shared" si="106"/>
        <v>0</v>
      </c>
      <c r="AL223" s="19">
        <f ca="1">(IF(MOD(AC223,($AE$15*12)),0,$AG223-IFERROR(SUM(OFFSET(AL222,,,-$AE$15*12)),0))-SUM($AL$28:AL222)*(Z224=0))*(Z223=1)</f>
        <v>0</v>
      </c>
      <c r="AM223" s="19">
        <f t="shared" si="107"/>
        <v>0</v>
      </c>
      <c r="AN223" s="19">
        <f t="shared" si="108"/>
        <v>0</v>
      </c>
      <c r="AP223" s="19">
        <f t="shared" ca="1" si="82"/>
        <v>0</v>
      </c>
      <c r="AQ223" s="18">
        <f t="shared" si="83"/>
        <v>0.5018746467326124</v>
      </c>
    </row>
    <row r="224" spans="3:43" x14ac:dyDescent="0.25">
      <c r="C224">
        <f t="shared" si="84"/>
        <v>196</v>
      </c>
      <c r="D224">
        <f t="shared" si="85"/>
        <v>16</v>
      </c>
      <c r="E224" s="12">
        <f t="shared" si="86"/>
        <v>51806</v>
      </c>
      <c r="F224" s="12"/>
      <c r="G224" s="15">
        <f t="shared" si="87"/>
        <v>0</v>
      </c>
      <c r="H224" s="15">
        <f t="shared" si="88"/>
        <v>0</v>
      </c>
      <c r="I224" s="15"/>
      <c r="J224" s="16">
        <f t="shared" si="89"/>
        <v>0</v>
      </c>
      <c r="K224" s="16">
        <f t="shared" si="90"/>
        <v>0</v>
      </c>
      <c r="L224">
        <f t="shared" si="91"/>
        <v>0</v>
      </c>
      <c r="M224">
        <f t="shared" si="92"/>
        <v>0</v>
      </c>
      <c r="N224" s="16">
        <f t="shared" si="93"/>
        <v>0</v>
      </c>
      <c r="O224" s="16"/>
      <c r="P224" s="17">
        <f t="shared" si="94"/>
        <v>0</v>
      </c>
      <c r="Q224">
        <f>Q223/(1+Assumptions!$E$8/12)</f>
        <v>0.5001034470244009</v>
      </c>
      <c r="S224" s="17">
        <f t="shared" si="95"/>
        <v>0</v>
      </c>
      <c r="T224" s="17">
        <f>T223*(1+$K$24)*Z224</f>
        <v>0</v>
      </c>
      <c r="U224" s="17">
        <f t="shared" si="96"/>
        <v>0</v>
      </c>
      <c r="V224" s="17">
        <f t="shared" si="97"/>
        <v>0</v>
      </c>
      <c r="W224" s="17">
        <f t="shared" si="98"/>
        <v>0</v>
      </c>
      <c r="Y224">
        <f>(MONTH(E224)=MONTH(Assumptions!$E$6))*(YEAR(Assumptions!$E$6)=YEAR('Rent v Mortgage'!E224))</f>
        <v>0</v>
      </c>
      <c r="Z224">
        <f>--(SUM($Y$28:Y223)&lt;1)*AA224</f>
        <v>0</v>
      </c>
      <c r="AA224">
        <f t="shared" si="99"/>
        <v>1</v>
      </c>
      <c r="AB224" s="20"/>
      <c r="AC224">
        <f t="shared" si="100"/>
        <v>196</v>
      </c>
      <c r="AD224">
        <f t="shared" si="101"/>
        <v>2041</v>
      </c>
      <c r="AE224" s="12">
        <f t="shared" si="102"/>
        <v>51806</v>
      </c>
      <c r="AG224" s="19">
        <f t="shared" si="103"/>
        <v>0</v>
      </c>
      <c r="AH224" s="19">
        <f t="shared" si="104"/>
        <v>0</v>
      </c>
      <c r="AI224" s="19">
        <f t="shared" si="105"/>
        <v>0</v>
      </c>
      <c r="AK224" s="19">
        <f t="shared" si="106"/>
        <v>0</v>
      </c>
      <c r="AL224" s="19">
        <f ca="1">(IF(MOD(AC224,($AE$15*12)),0,$AG224-IFERROR(SUM(OFFSET(AL223,,,-$AE$15*12)),0))-SUM($AL$28:AL223)*(Z225=0))*(Z224=1)</f>
        <v>0</v>
      </c>
      <c r="AM224" s="19">
        <f t="shared" si="107"/>
        <v>0</v>
      </c>
      <c r="AN224" s="19">
        <f t="shared" si="108"/>
        <v>0</v>
      </c>
      <c r="AP224" s="19">
        <f t="shared" ca="1" si="82"/>
        <v>0</v>
      </c>
      <c r="AQ224" s="18">
        <f t="shared" si="83"/>
        <v>0.5001034470244009</v>
      </c>
    </row>
    <row r="225" spans="3:43" x14ac:dyDescent="0.25">
      <c r="C225">
        <f t="shared" si="84"/>
        <v>197</v>
      </c>
      <c r="D225">
        <f t="shared" si="85"/>
        <v>16</v>
      </c>
      <c r="E225" s="12">
        <f t="shared" si="86"/>
        <v>51836</v>
      </c>
      <c r="F225" s="12"/>
      <c r="G225" s="15">
        <f t="shared" si="87"/>
        <v>0</v>
      </c>
      <c r="H225" s="15">
        <f t="shared" si="88"/>
        <v>0</v>
      </c>
      <c r="I225" s="15"/>
      <c r="J225" s="16">
        <f t="shared" si="89"/>
        <v>0</v>
      </c>
      <c r="K225" s="16">
        <f t="shared" si="90"/>
        <v>0</v>
      </c>
      <c r="L225">
        <f t="shared" si="91"/>
        <v>0</v>
      </c>
      <c r="M225">
        <f t="shared" si="92"/>
        <v>0</v>
      </c>
      <c r="N225" s="16">
        <f t="shared" si="93"/>
        <v>0</v>
      </c>
      <c r="O225" s="16"/>
      <c r="P225" s="17">
        <f t="shared" si="94"/>
        <v>0</v>
      </c>
      <c r="Q225">
        <f>Q224/(1+Assumptions!$E$8/12)</f>
        <v>0.49833849817669174</v>
      </c>
      <c r="S225" s="17">
        <f t="shared" si="95"/>
        <v>0</v>
      </c>
      <c r="T225" s="17">
        <f>T224*(1+$K$24)*Z225</f>
        <v>0</v>
      </c>
      <c r="U225" s="17">
        <f t="shared" si="96"/>
        <v>0</v>
      </c>
      <c r="V225" s="17">
        <f t="shared" si="97"/>
        <v>0</v>
      </c>
      <c r="W225" s="17">
        <f t="shared" si="98"/>
        <v>0</v>
      </c>
      <c r="Y225">
        <f>(MONTH(E225)=MONTH(Assumptions!$E$6))*(YEAR(Assumptions!$E$6)=YEAR('Rent v Mortgage'!E225))</f>
        <v>0</v>
      </c>
      <c r="Z225">
        <f>--(SUM($Y$28:Y224)&lt;1)*AA225</f>
        <v>0</v>
      </c>
      <c r="AA225">
        <f t="shared" si="99"/>
        <v>1</v>
      </c>
      <c r="AB225" s="20"/>
      <c r="AC225">
        <f t="shared" si="100"/>
        <v>197</v>
      </c>
      <c r="AD225">
        <f t="shared" si="101"/>
        <v>2041</v>
      </c>
      <c r="AE225" s="12">
        <f t="shared" si="102"/>
        <v>51836</v>
      </c>
      <c r="AG225" s="19">
        <f t="shared" si="103"/>
        <v>0</v>
      </c>
      <c r="AH225" s="19">
        <f t="shared" si="104"/>
        <v>0</v>
      </c>
      <c r="AI225" s="19">
        <f t="shared" si="105"/>
        <v>0</v>
      </c>
      <c r="AK225" s="19">
        <f t="shared" si="106"/>
        <v>0</v>
      </c>
      <c r="AL225" s="19">
        <f ca="1">(IF(MOD(AC225,($AE$15*12)),0,$AG225-IFERROR(SUM(OFFSET(AL224,,,-$AE$15*12)),0))-SUM($AL$28:AL224)*(Z226=0))*(Z225=1)</f>
        <v>0</v>
      </c>
      <c r="AM225" s="19">
        <f t="shared" si="107"/>
        <v>0</v>
      </c>
      <c r="AN225" s="19">
        <f t="shared" si="108"/>
        <v>0</v>
      </c>
      <c r="AP225" s="19">
        <f t="shared" ca="1" si="82"/>
        <v>0</v>
      </c>
      <c r="AQ225" s="18">
        <f t="shared" si="83"/>
        <v>0.49833849817669174</v>
      </c>
    </row>
    <row r="226" spans="3:43" x14ac:dyDescent="0.25">
      <c r="C226">
        <f t="shared" si="84"/>
        <v>198</v>
      </c>
      <c r="D226">
        <f t="shared" si="85"/>
        <v>16</v>
      </c>
      <c r="E226" s="12">
        <f t="shared" si="86"/>
        <v>51867</v>
      </c>
      <c r="F226" s="12"/>
      <c r="G226" s="15">
        <f t="shared" si="87"/>
        <v>0</v>
      </c>
      <c r="H226" s="15">
        <f t="shared" si="88"/>
        <v>0</v>
      </c>
      <c r="I226" s="15"/>
      <c r="J226" s="16">
        <f t="shared" si="89"/>
        <v>0</v>
      </c>
      <c r="K226" s="16">
        <f t="shared" si="90"/>
        <v>0</v>
      </c>
      <c r="L226">
        <f t="shared" si="91"/>
        <v>0</v>
      </c>
      <c r="M226">
        <f t="shared" si="92"/>
        <v>0</v>
      </c>
      <c r="N226" s="16">
        <f t="shared" si="93"/>
        <v>0</v>
      </c>
      <c r="O226" s="16"/>
      <c r="P226" s="17">
        <f t="shared" si="94"/>
        <v>0</v>
      </c>
      <c r="Q226">
        <f>Q225/(1+Assumptions!$E$8/12)</f>
        <v>0.49657977812915094</v>
      </c>
      <c r="S226" s="17">
        <f t="shared" si="95"/>
        <v>0</v>
      </c>
      <c r="T226" s="17">
        <f>T225*(1+$K$24)*Z226</f>
        <v>0</v>
      </c>
      <c r="U226" s="17">
        <f t="shared" si="96"/>
        <v>0</v>
      </c>
      <c r="V226" s="17">
        <f t="shared" si="97"/>
        <v>0</v>
      </c>
      <c r="W226" s="17">
        <f t="shared" si="98"/>
        <v>0</v>
      </c>
      <c r="Y226">
        <f>(MONTH(E226)=MONTH(Assumptions!$E$6))*(YEAR(Assumptions!$E$6)=YEAR('Rent v Mortgage'!E226))</f>
        <v>0</v>
      </c>
      <c r="Z226">
        <f>--(SUM($Y$28:Y225)&lt;1)*AA226</f>
        <v>0</v>
      </c>
      <c r="AA226">
        <f t="shared" si="99"/>
        <v>1</v>
      </c>
      <c r="AB226" s="20"/>
      <c r="AC226">
        <f t="shared" si="100"/>
        <v>198</v>
      </c>
      <c r="AD226">
        <f t="shared" si="101"/>
        <v>2042</v>
      </c>
      <c r="AE226" s="12">
        <f t="shared" si="102"/>
        <v>51867</v>
      </c>
      <c r="AG226" s="19">
        <f t="shared" si="103"/>
        <v>0</v>
      </c>
      <c r="AH226" s="19">
        <f t="shared" si="104"/>
        <v>0</v>
      </c>
      <c r="AI226" s="19">
        <f t="shared" si="105"/>
        <v>0</v>
      </c>
      <c r="AK226" s="19">
        <f t="shared" si="106"/>
        <v>0</v>
      </c>
      <c r="AL226" s="19">
        <f ca="1">(IF(MOD(AC226,($AE$15*12)),0,$AG226-IFERROR(SUM(OFFSET(AL225,,,-$AE$15*12)),0))-SUM($AL$28:AL225)*(Z227=0))*(Z226=1)</f>
        <v>0</v>
      </c>
      <c r="AM226" s="19">
        <f t="shared" si="107"/>
        <v>0</v>
      </c>
      <c r="AN226" s="19">
        <f t="shared" si="108"/>
        <v>0</v>
      </c>
      <c r="AP226" s="19">
        <f t="shared" ca="1" si="82"/>
        <v>0</v>
      </c>
      <c r="AQ226" s="18">
        <f t="shared" si="83"/>
        <v>0.49657977812915094</v>
      </c>
    </row>
    <row r="227" spans="3:43" x14ac:dyDescent="0.25">
      <c r="C227">
        <f t="shared" si="84"/>
        <v>199</v>
      </c>
      <c r="D227">
        <f t="shared" si="85"/>
        <v>16</v>
      </c>
      <c r="E227" s="12">
        <f t="shared" si="86"/>
        <v>51898</v>
      </c>
      <c r="F227" s="12"/>
      <c r="G227" s="15">
        <f t="shared" si="87"/>
        <v>0</v>
      </c>
      <c r="H227" s="15">
        <f t="shared" si="88"/>
        <v>0</v>
      </c>
      <c r="I227" s="15"/>
      <c r="J227" s="16">
        <f t="shared" si="89"/>
        <v>0</v>
      </c>
      <c r="K227" s="16">
        <f t="shared" si="90"/>
        <v>0</v>
      </c>
      <c r="L227">
        <f t="shared" si="91"/>
        <v>0</v>
      </c>
      <c r="M227">
        <f t="shared" si="92"/>
        <v>0</v>
      </c>
      <c r="N227" s="16">
        <f t="shared" si="93"/>
        <v>0</v>
      </c>
      <c r="O227" s="16"/>
      <c r="P227" s="17">
        <f t="shared" si="94"/>
        <v>0</v>
      </c>
      <c r="Q227">
        <f>Q226/(1+Assumptions!$E$8/12)</f>
        <v>0.49482726489929918</v>
      </c>
      <c r="S227" s="17">
        <f t="shared" si="95"/>
        <v>0</v>
      </c>
      <c r="T227" s="17">
        <f>T226*(1+$K$24)*Z227</f>
        <v>0</v>
      </c>
      <c r="U227" s="17">
        <f t="shared" si="96"/>
        <v>0</v>
      </c>
      <c r="V227" s="17">
        <f t="shared" si="97"/>
        <v>0</v>
      </c>
      <c r="W227" s="17">
        <f t="shared" si="98"/>
        <v>0</v>
      </c>
      <c r="Y227">
        <f>(MONTH(E227)=MONTH(Assumptions!$E$6))*(YEAR(Assumptions!$E$6)=YEAR('Rent v Mortgage'!E227))</f>
        <v>0</v>
      </c>
      <c r="Z227">
        <f>--(SUM($Y$28:Y226)&lt;1)*AA227</f>
        <v>0</v>
      </c>
      <c r="AA227">
        <f t="shared" si="99"/>
        <v>1</v>
      </c>
      <c r="AB227" s="20"/>
      <c r="AC227">
        <f t="shared" si="100"/>
        <v>199</v>
      </c>
      <c r="AD227">
        <f t="shared" si="101"/>
        <v>2042</v>
      </c>
      <c r="AE227" s="12">
        <f t="shared" si="102"/>
        <v>51898</v>
      </c>
      <c r="AG227" s="19">
        <f t="shared" si="103"/>
        <v>0</v>
      </c>
      <c r="AH227" s="19">
        <f t="shared" si="104"/>
        <v>0</v>
      </c>
      <c r="AI227" s="19">
        <f t="shared" si="105"/>
        <v>0</v>
      </c>
      <c r="AK227" s="19">
        <f t="shared" si="106"/>
        <v>0</v>
      </c>
      <c r="AL227" s="19">
        <f ca="1">(IF(MOD(AC227,($AE$15*12)),0,$AG227-IFERROR(SUM(OFFSET(AL226,,,-$AE$15*12)),0))-SUM($AL$28:AL226)*(Z228=0))*(Z227=1)</f>
        <v>0</v>
      </c>
      <c r="AM227" s="19">
        <f t="shared" si="107"/>
        <v>0</v>
      </c>
      <c r="AN227" s="19">
        <f t="shared" si="108"/>
        <v>0</v>
      </c>
      <c r="AP227" s="19">
        <f t="shared" ca="1" si="82"/>
        <v>0</v>
      </c>
      <c r="AQ227" s="18">
        <f t="shared" si="83"/>
        <v>0.49482726489929918</v>
      </c>
    </row>
    <row r="228" spans="3:43" x14ac:dyDescent="0.25">
      <c r="C228">
        <f t="shared" si="84"/>
        <v>200</v>
      </c>
      <c r="D228">
        <f t="shared" si="85"/>
        <v>16</v>
      </c>
      <c r="E228" s="12">
        <f t="shared" si="86"/>
        <v>51926</v>
      </c>
      <c r="F228" s="12"/>
      <c r="G228" s="15">
        <f t="shared" si="87"/>
        <v>0</v>
      </c>
      <c r="H228" s="15">
        <f t="shared" si="88"/>
        <v>0</v>
      </c>
      <c r="I228" s="15"/>
      <c r="J228" s="16">
        <f t="shared" si="89"/>
        <v>0</v>
      </c>
      <c r="K228" s="16">
        <f t="shared" si="90"/>
        <v>0</v>
      </c>
      <c r="L228">
        <f t="shared" si="91"/>
        <v>0</v>
      </c>
      <c r="M228">
        <f t="shared" si="92"/>
        <v>0</v>
      </c>
      <c r="N228" s="16">
        <f t="shared" si="93"/>
        <v>0</v>
      </c>
      <c r="O228" s="16"/>
      <c r="P228" s="17">
        <f t="shared" si="94"/>
        <v>0</v>
      </c>
      <c r="Q228">
        <f>Q227/(1+Assumptions!$E$8/12)</f>
        <v>0.49308093658223706</v>
      </c>
      <c r="S228" s="17">
        <f t="shared" si="95"/>
        <v>0</v>
      </c>
      <c r="T228" s="17">
        <f>T227*(1+$K$24)*Z228</f>
        <v>0</v>
      </c>
      <c r="U228" s="17">
        <f t="shared" si="96"/>
        <v>0</v>
      </c>
      <c r="V228" s="17">
        <f t="shared" si="97"/>
        <v>0</v>
      </c>
      <c r="W228" s="17">
        <f t="shared" si="98"/>
        <v>0</v>
      </c>
      <c r="Y228">
        <f>(MONTH(E228)=MONTH(Assumptions!$E$6))*(YEAR(Assumptions!$E$6)=YEAR('Rent v Mortgage'!E228))</f>
        <v>0</v>
      </c>
      <c r="Z228">
        <f>--(SUM($Y$28:Y227)&lt;1)*AA228</f>
        <v>0</v>
      </c>
      <c r="AA228">
        <f t="shared" si="99"/>
        <v>1</v>
      </c>
      <c r="AB228" s="20"/>
      <c r="AC228">
        <f t="shared" si="100"/>
        <v>200</v>
      </c>
      <c r="AD228">
        <f t="shared" si="101"/>
        <v>2042</v>
      </c>
      <c r="AE228" s="12">
        <f t="shared" si="102"/>
        <v>51926</v>
      </c>
      <c r="AG228" s="19">
        <f t="shared" si="103"/>
        <v>0</v>
      </c>
      <c r="AH228" s="19">
        <f t="shared" si="104"/>
        <v>0</v>
      </c>
      <c r="AI228" s="19">
        <f t="shared" si="105"/>
        <v>0</v>
      </c>
      <c r="AK228" s="19">
        <f t="shared" si="106"/>
        <v>0</v>
      </c>
      <c r="AL228" s="19">
        <f ca="1">(IF(MOD(AC228,($AE$15*12)),0,$AG228-IFERROR(SUM(OFFSET(AL227,,,-$AE$15*12)),0))-SUM($AL$28:AL227)*(Z229=0))*(Z228=1)</f>
        <v>0</v>
      </c>
      <c r="AM228" s="19">
        <f t="shared" si="107"/>
        <v>0</v>
      </c>
      <c r="AN228" s="19">
        <f t="shared" si="108"/>
        <v>0</v>
      </c>
      <c r="AP228" s="19">
        <f t="shared" ca="1" si="82"/>
        <v>0</v>
      </c>
      <c r="AQ228" s="18">
        <f t="shared" si="83"/>
        <v>0.49308093658223706</v>
      </c>
    </row>
    <row r="229" spans="3:43" x14ac:dyDescent="0.25">
      <c r="C229">
        <f t="shared" si="84"/>
        <v>201</v>
      </c>
      <c r="D229">
        <f t="shared" si="85"/>
        <v>16</v>
      </c>
      <c r="E229" s="12">
        <f t="shared" si="86"/>
        <v>51957</v>
      </c>
      <c r="F229" s="12"/>
      <c r="G229" s="15">
        <f t="shared" si="87"/>
        <v>0</v>
      </c>
      <c r="H229" s="15">
        <f t="shared" si="88"/>
        <v>0</v>
      </c>
      <c r="I229" s="15"/>
      <c r="J229" s="16">
        <f t="shared" si="89"/>
        <v>0</v>
      </c>
      <c r="K229" s="16">
        <f t="shared" si="90"/>
        <v>0</v>
      </c>
      <c r="L229">
        <f t="shared" si="91"/>
        <v>0</v>
      </c>
      <c r="M229">
        <f t="shared" si="92"/>
        <v>0</v>
      </c>
      <c r="N229" s="16">
        <f t="shared" si="93"/>
        <v>0</v>
      </c>
      <c r="O229" s="16"/>
      <c r="P229" s="17">
        <f t="shared" si="94"/>
        <v>0</v>
      </c>
      <c r="Q229">
        <f>Q228/(1+Assumptions!$E$8/12)</f>
        <v>0.49134077135037113</v>
      </c>
      <c r="S229" s="17">
        <f t="shared" si="95"/>
        <v>0</v>
      </c>
      <c r="T229" s="17">
        <f>T228*(1+$K$24)*Z229</f>
        <v>0</v>
      </c>
      <c r="U229" s="17">
        <f t="shared" si="96"/>
        <v>0</v>
      </c>
      <c r="V229" s="17">
        <f t="shared" si="97"/>
        <v>0</v>
      </c>
      <c r="W229" s="17">
        <f t="shared" si="98"/>
        <v>0</v>
      </c>
      <c r="Y229">
        <f>(MONTH(E229)=MONTH(Assumptions!$E$6))*(YEAR(Assumptions!$E$6)=YEAR('Rent v Mortgage'!E229))</f>
        <v>0</v>
      </c>
      <c r="Z229">
        <f>--(SUM($Y$28:Y228)&lt;1)*AA229</f>
        <v>0</v>
      </c>
      <c r="AA229">
        <f t="shared" si="99"/>
        <v>1</v>
      </c>
      <c r="AB229" s="20"/>
      <c r="AC229">
        <f t="shared" si="100"/>
        <v>201</v>
      </c>
      <c r="AD229">
        <f t="shared" si="101"/>
        <v>2042</v>
      </c>
      <c r="AE229" s="12">
        <f t="shared" si="102"/>
        <v>51957</v>
      </c>
      <c r="AG229" s="19">
        <f t="shared" si="103"/>
        <v>0</v>
      </c>
      <c r="AH229" s="19">
        <f t="shared" si="104"/>
        <v>0</v>
      </c>
      <c r="AI229" s="19">
        <f t="shared" si="105"/>
        <v>0</v>
      </c>
      <c r="AK229" s="19">
        <f t="shared" si="106"/>
        <v>0</v>
      </c>
      <c r="AL229" s="19">
        <f ca="1">(IF(MOD(AC229,($AE$15*12)),0,$AG229-IFERROR(SUM(OFFSET(AL228,,,-$AE$15*12)),0))-SUM($AL$28:AL228)*(Z230=0))*(Z229=1)</f>
        <v>0</v>
      </c>
      <c r="AM229" s="19">
        <f t="shared" si="107"/>
        <v>0</v>
      </c>
      <c r="AN229" s="19">
        <f t="shared" si="108"/>
        <v>0</v>
      </c>
      <c r="AP229" s="19">
        <f t="shared" ca="1" si="82"/>
        <v>0</v>
      </c>
      <c r="AQ229" s="18">
        <f t="shared" si="83"/>
        <v>0.49134077135037113</v>
      </c>
    </row>
    <row r="230" spans="3:43" x14ac:dyDescent="0.25">
      <c r="C230">
        <f t="shared" si="84"/>
        <v>202</v>
      </c>
      <c r="D230">
        <f t="shared" si="85"/>
        <v>16</v>
      </c>
      <c r="E230" s="12">
        <f t="shared" si="86"/>
        <v>51987</v>
      </c>
      <c r="F230" s="12"/>
      <c r="G230" s="15">
        <f t="shared" si="87"/>
        <v>0</v>
      </c>
      <c r="H230" s="15">
        <f t="shared" si="88"/>
        <v>0</v>
      </c>
      <c r="I230" s="15"/>
      <c r="J230" s="16">
        <f t="shared" si="89"/>
        <v>0</v>
      </c>
      <c r="K230" s="16">
        <f t="shared" si="90"/>
        <v>0</v>
      </c>
      <c r="L230">
        <f t="shared" si="91"/>
        <v>0</v>
      </c>
      <c r="M230">
        <f t="shared" si="92"/>
        <v>0</v>
      </c>
      <c r="N230" s="16">
        <f t="shared" si="93"/>
        <v>0</v>
      </c>
      <c r="O230" s="16"/>
      <c r="P230" s="17">
        <f t="shared" si="94"/>
        <v>0</v>
      </c>
      <c r="Q230">
        <f>Q229/(1+Assumptions!$E$8/12)</f>
        <v>0.4896067474531412</v>
      </c>
      <c r="S230" s="17">
        <f t="shared" si="95"/>
        <v>0</v>
      </c>
      <c r="T230" s="17">
        <f>T229*(1+$K$24)*Z230</f>
        <v>0</v>
      </c>
      <c r="U230" s="17">
        <f t="shared" si="96"/>
        <v>0</v>
      </c>
      <c r="V230" s="17">
        <f t="shared" si="97"/>
        <v>0</v>
      </c>
      <c r="W230" s="17">
        <f t="shared" si="98"/>
        <v>0</v>
      </c>
      <c r="Y230">
        <f>(MONTH(E230)=MONTH(Assumptions!$E$6))*(YEAR(Assumptions!$E$6)=YEAR('Rent v Mortgage'!E230))</f>
        <v>0</v>
      </c>
      <c r="Z230">
        <f>--(SUM($Y$28:Y229)&lt;1)*AA230</f>
        <v>0</v>
      </c>
      <c r="AA230">
        <f t="shared" si="99"/>
        <v>1</v>
      </c>
      <c r="AB230" s="20"/>
      <c r="AC230">
        <f t="shared" si="100"/>
        <v>202</v>
      </c>
      <c r="AD230">
        <f t="shared" si="101"/>
        <v>2042</v>
      </c>
      <c r="AE230" s="12">
        <f t="shared" si="102"/>
        <v>51987</v>
      </c>
      <c r="AG230" s="19">
        <f t="shared" si="103"/>
        <v>0</v>
      </c>
      <c r="AH230" s="19">
        <f t="shared" si="104"/>
        <v>0</v>
      </c>
      <c r="AI230" s="19">
        <f t="shared" si="105"/>
        <v>0</v>
      </c>
      <c r="AK230" s="19">
        <f t="shared" si="106"/>
        <v>0</v>
      </c>
      <c r="AL230" s="19">
        <f ca="1">(IF(MOD(AC230,($AE$15*12)),0,$AG230-IFERROR(SUM(OFFSET(AL229,,,-$AE$15*12)),0))-SUM($AL$28:AL229)*(Z231=0))*(Z230=1)</f>
        <v>0</v>
      </c>
      <c r="AM230" s="19">
        <f t="shared" si="107"/>
        <v>0</v>
      </c>
      <c r="AN230" s="19">
        <f t="shared" si="108"/>
        <v>0</v>
      </c>
      <c r="AP230" s="19">
        <f t="shared" ca="1" si="82"/>
        <v>0</v>
      </c>
      <c r="AQ230" s="18">
        <f t="shared" si="83"/>
        <v>0.4896067474531412</v>
      </c>
    </row>
    <row r="231" spans="3:43" x14ac:dyDescent="0.25">
      <c r="C231">
        <f t="shared" si="84"/>
        <v>203</v>
      </c>
      <c r="D231">
        <f t="shared" si="85"/>
        <v>16</v>
      </c>
      <c r="E231" s="12">
        <f t="shared" si="86"/>
        <v>52018</v>
      </c>
      <c r="F231" s="12"/>
      <c r="G231" s="15">
        <f t="shared" si="87"/>
        <v>0</v>
      </c>
      <c r="H231" s="15">
        <f t="shared" si="88"/>
        <v>0</v>
      </c>
      <c r="I231" s="15"/>
      <c r="J231" s="16">
        <f t="shared" si="89"/>
        <v>0</v>
      </c>
      <c r="K231" s="16">
        <f t="shared" si="90"/>
        <v>0</v>
      </c>
      <c r="L231">
        <f t="shared" si="91"/>
        <v>0</v>
      </c>
      <c r="M231">
        <f t="shared" si="92"/>
        <v>0</v>
      </c>
      <c r="N231" s="16">
        <f t="shared" si="93"/>
        <v>0</v>
      </c>
      <c r="O231" s="16"/>
      <c r="P231" s="17">
        <f t="shared" si="94"/>
        <v>0</v>
      </c>
      <c r="Q231">
        <f>Q230/(1+Assumptions!$E$8/12)</f>
        <v>0.48787884321674851</v>
      </c>
      <c r="S231" s="17">
        <f t="shared" si="95"/>
        <v>0</v>
      </c>
      <c r="T231" s="17">
        <f>T230*(1+$K$24)*Z231</f>
        <v>0</v>
      </c>
      <c r="U231" s="17">
        <f t="shared" si="96"/>
        <v>0</v>
      </c>
      <c r="V231" s="17">
        <f t="shared" si="97"/>
        <v>0</v>
      </c>
      <c r="W231" s="17">
        <f t="shared" si="98"/>
        <v>0</v>
      </c>
      <c r="Y231">
        <f>(MONTH(E231)=MONTH(Assumptions!$E$6))*(YEAR(Assumptions!$E$6)=YEAR('Rent v Mortgage'!E231))</f>
        <v>0</v>
      </c>
      <c r="Z231">
        <f>--(SUM($Y$28:Y230)&lt;1)*AA231</f>
        <v>0</v>
      </c>
      <c r="AA231">
        <f t="shared" si="99"/>
        <v>1</v>
      </c>
      <c r="AB231" s="20"/>
      <c r="AC231">
        <f t="shared" si="100"/>
        <v>203</v>
      </c>
      <c r="AD231">
        <f t="shared" si="101"/>
        <v>2042</v>
      </c>
      <c r="AE231" s="12">
        <f t="shared" si="102"/>
        <v>52018</v>
      </c>
      <c r="AG231" s="19">
        <f t="shared" si="103"/>
        <v>0</v>
      </c>
      <c r="AH231" s="19">
        <f t="shared" si="104"/>
        <v>0</v>
      </c>
      <c r="AI231" s="19">
        <f t="shared" si="105"/>
        <v>0</v>
      </c>
      <c r="AK231" s="19">
        <f t="shared" si="106"/>
        <v>0</v>
      </c>
      <c r="AL231" s="19">
        <f ca="1">(IF(MOD(AC231,($AE$15*12)),0,$AG231-IFERROR(SUM(OFFSET(AL230,,,-$AE$15*12)),0))-SUM($AL$28:AL230)*(Z232=0))*(Z231=1)</f>
        <v>0</v>
      </c>
      <c r="AM231" s="19">
        <f t="shared" si="107"/>
        <v>0</v>
      </c>
      <c r="AN231" s="19">
        <f t="shared" si="108"/>
        <v>0</v>
      </c>
      <c r="AP231" s="19">
        <f t="shared" ca="1" si="82"/>
        <v>0</v>
      </c>
      <c r="AQ231" s="18">
        <f t="shared" si="83"/>
        <v>0.48787884321674851</v>
      </c>
    </row>
    <row r="232" spans="3:43" x14ac:dyDescent="0.25">
      <c r="C232">
        <f t="shared" si="84"/>
        <v>204</v>
      </c>
      <c r="D232">
        <f t="shared" si="85"/>
        <v>17</v>
      </c>
      <c r="E232" s="12">
        <f t="shared" si="86"/>
        <v>52048</v>
      </c>
      <c r="F232" s="12"/>
      <c r="G232" s="15">
        <f t="shared" si="87"/>
        <v>0</v>
      </c>
      <c r="H232" s="15">
        <f t="shared" si="88"/>
        <v>0</v>
      </c>
      <c r="I232" s="15"/>
      <c r="J232" s="16">
        <f t="shared" si="89"/>
        <v>0</v>
      </c>
      <c r="K232" s="16">
        <f t="shared" si="90"/>
        <v>0</v>
      </c>
      <c r="L232">
        <f t="shared" si="91"/>
        <v>0</v>
      </c>
      <c r="M232">
        <f t="shared" si="92"/>
        <v>0</v>
      </c>
      <c r="N232" s="16">
        <f t="shared" si="93"/>
        <v>0</v>
      </c>
      <c r="O232" s="16"/>
      <c r="P232" s="17">
        <f t="shared" si="94"/>
        <v>0</v>
      </c>
      <c r="Q232">
        <f>Q231/(1+Assumptions!$E$8/12)</f>
        <v>0.48615703704388469</v>
      </c>
      <c r="S232" s="17">
        <f t="shared" si="95"/>
        <v>0</v>
      </c>
      <c r="T232" s="17">
        <f>T231*(1+$K$24)*Z232</f>
        <v>0</v>
      </c>
      <c r="U232" s="17">
        <f t="shared" si="96"/>
        <v>0</v>
      </c>
      <c r="V232" s="17">
        <f t="shared" si="97"/>
        <v>0</v>
      </c>
      <c r="W232" s="17">
        <f t="shared" si="98"/>
        <v>0</v>
      </c>
      <c r="Y232">
        <f>(MONTH(E232)=MONTH(Assumptions!$E$6))*(YEAR(Assumptions!$E$6)=YEAR('Rent v Mortgage'!E232))</f>
        <v>0</v>
      </c>
      <c r="Z232">
        <f>--(SUM($Y$28:Y231)&lt;1)*AA232</f>
        <v>0</v>
      </c>
      <c r="AA232">
        <f t="shared" si="99"/>
        <v>1</v>
      </c>
      <c r="AB232" s="20"/>
      <c r="AC232">
        <f t="shared" si="100"/>
        <v>204</v>
      </c>
      <c r="AD232">
        <f t="shared" si="101"/>
        <v>2042</v>
      </c>
      <c r="AE232" s="12">
        <f t="shared" si="102"/>
        <v>52048</v>
      </c>
      <c r="AG232" s="19">
        <f t="shared" si="103"/>
        <v>0</v>
      </c>
      <c r="AH232" s="19">
        <f t="shared" si="104"/>
        <v>0</v>
      </c>
      <c r="AI232" s="19">
        <f t="shared" si="105"/>
        <v>0</v>
      </c>
      <c r="AK232" s="19">
        <f t="shared" si="106"/>
        <v>0</v>
      </c>
      <c r="AL232" s="19">
        <f ca="1">(IF(MOD(AC232,($AE$15*12)),0,$AG232-IFERROR(SUM(OFFSET(AL231,,,-$AE$15*12)),0))-SUM($AL$28:AL231)*(Z233=0))*(Z232=1)</f>
        <v>0</v>
      </c>
      <c r="AM232" s="19">
        <f t="shared" si="107"/>
        <v>0</v>
      </c>
      <c r="AN232" s="19">
        <f t="shared" si="108"/>
        <v>0</v>
      </c>
      <c r="AP232" s="19">
        <f t="shared" ca="1" si="82"/>
        <v>0</v>
      </c>
      <c r="AQ232" s="18">
        <f t="shared" si="83"/>
        <v>0.48615703704388469</v>
      </c>
    </row>
    <row r="233" spans="3:43" x14ac:dyDescent="0.25">
      <c r="C233">
        <f t="shared" si="84"/>
        <v>205</v>
      </c>
      <c r="D233">
        <f t="shared" si="85"/>
        <v>17</v>
      </c>
      <c r="E233" s="12">
        <f t="shared" si="86"/>
        <v>52079</v>
      </c>
      <c r="F233" s="12"/>
      <c r="G233" s="15">
        <f t="shared" si="87"/>
        <v>0</v>
      </c>
      <c r="H233" s="15">
        <f t="shared" si="88"/>
        <v>0</v>
      </c>
      <c r="I233" s="15"/>
      <c r="J233" s="16">
        <f t="shared" si="89"/>
        <v>0</v>
      </c>
      <c r="K233" s="16">
        <f t="shared" si="90"/>
        <v>0</v>
      </c>
      <c r="L233">
        <f t="shared" si="91"/>
        <v>0</v>
      </c>
      <c r="M233">
        <f t="shared" si="92"/>
        <v>0</v>
      </c>
      <c r="N233" s="16">
        <f t="shared" si="93"/>
        <v>0</v>
      </c>
      <c r="O233" s="16"/>
      <c r="P233" s="17">
        <f t="shared" si="94"/>
        <v>0</v>
      </c>
      <c r="Q233">
        <f>Q232/(1+Assumptions!$E$8/12)</f>
        <v>0.48444130741346197</v>
      </c>
      <c r="S233" s="17">
        <f t="shared" si="95"/>
        <v>0</v>
      </c>
      <c r="T233" s="17">
        <f>T232*(1+$K$24)*Z233</f>
        <v>0</v>
      </c>
      <c r="U233" s="17">
        <f t="shared" si="96"/>
        <v>0</v>
      </c>
      <c r="V233" s="17">
        <f t="shared" si="97"/>
        <v>0</v>
      </c>
      <c r="W233" s="17">
        <f t="shared" si="98"/>
        <v>0</v>
      </c>
      <c r="Y233">
        <f>(MONTH(E233)=MONTH(Assumptions!$E$6))*(YEAR(Assumptions!$E$6)=YEAR('Rent v Mortgage'!E233))</f>
        <v>0</v>
      </c>
      <c r="Z233">
        <f>--(SUM($Y$28:Y232)&lt;1)*AA233</f>
        <v>0</v>
      </c>
      <c r="AA233">
        <f t="shared" si="99"/>
        <v>1</v>
      </c>
      <c r="AB233" s="20"/>
      <c r="AC233">
        <f t="shared" si="100"/>
        <v>205</v>
      </c>
      <c r="AD233">
        <f t="shared" si="101"/>
        <v>2042</v>
      </c>
      <c r="AE233" s="12">
        <f t="shared" si="102"/>
        <v>52079</v>
      </c>
      <c r="AG233" s="19">
        <f t="shared" si="103"/>
        <v>0</v>
      </c>
      <c r="AH233" s="19">
        <f t="shared" si="104"/>
        <v>0</v>
      </c>
      <c r="AI233" s="19">
        <f t="shared" si="105"/>
        <v>0</v>
      </c>
      <c r="AK233" s="19">
        <f t="shared" si="106"/>
        <v>0</v>
      </c>
      <c r="AL233" s="19">
        <f ca="1">(IF(MOD(AC233,($AE$15*12)),0,$AG233-IFERROR(SUM(OFFSET(AL232,,,-$AE$15*12)),0))-SUM($AL$28:AL232)*(Z234=0))*(Z233=1)</f>
        <v>0</v>
      </c>
      <c r="AM233" s="19">
        <f t="shared" si="107"/>
        <v>0</v>
      </c>
      <c r="AN233" s="19">
        <f t="shared" si="108"/>
        <v>0</v>
      </c>
      <c r="AP233" s="19">
        <f t="shared" ca="1" si="82"/>
        <v>0</v>
      </c>
      <c r="AQ233" s="18">
        <f t="shared" si="83"/>
        <v>0.48444130741346197</v>
      </c>
    </row>
    <row r="234" spans="3:43" x14ac:dyDescent="0.25">
      <c r="C234">
        <f t="shared" si="84"/>
        <v>206</v>
      </c>
      <c r="D234">
        <f t="shared" si="85"/>
        <v>17</v>
      </c>
      <c r="E234" s="12">
        <f t="shared" si="86"/>
        <v>52110</v>
      </c>
      <c r="F234" s="12"/>
      <c r="G234" s="15">
        <f t="shared" si="87"/>
        <v>0</v>
      </c>
      <c r="H234" s="15">
        <f t="shared" si="88"/>
        <v>0</v>
      </c>
      <c r="I234" s="15"/>
      <c r="J234" s="16">
        <f t="shared" si="89"/>
        <v>0</v>
      </c>
      <c r="K234" s="16">
        <f t="shared" si="90"/>
        <v>0</v>
      </c>
      <c r="L234">
        <f t="shared" si="91"/>
        <v>0</v>
      </c>
      <c r="M234">
        <f t="shared" si="92"/>
        <v>0</v>
      </c>
      <c r="N234" s="16">
        <f t="shared" si="93"/>
        <v>0</v>
      </c>
      <c r="O234" s="16"/>
      <c r="P234" s="17">
        <f t="shared" si="94"/>
        <v>0</v>
      </c>
      <c r="Q234">
        <f>Q233/(1+Assumptions!$E$8/12)</f>
        <v>0.48273163288034404</v>
      </c>
      <c r="S234" s="17">
        <f t="shared" si="95"/>
        <v>0</v>
      </c>
      <c r="T234" s="17">
        <f>T233*(1+$K$24)*Z234</f>
        <v>0</v>
      </c>
      <c r="U234" s="17">
        <f t="shared" si="96"/>
        <v>0</v>
      </c>
      <c r="V234" s="17">
        <f t="shared" si="97"/>
        <v>0</v>
      </c>
      <c r="W234" s="17">
        <f t="shared" si="98"/>
        <v>0</v>
      </c>
      <c r="Y234">
        <f>(MONTH(E234)=MONTH(Assumptions!$E$6))*(YEAR(Assumptions!$E$6)=YEAR('Rent v Mortgage'!E234))</f>
        <v>0</v>
      </c>
      <c r="Z234">
        <f>--(SUM($Y$28:Y233)&lt;1)*AA234</f>
        <v>0</v>
      </c>
      <c r="AA234">
        <f t="shared" si="99"/>
        <v>1</v>
      </c>
      <c r="AB234" s="20"/>
      <c r="AC234">
        <f t="shared" si="100"/>
        <v>206</v>
      </c>
      <c r="AD234">
        <f t="shared" si="101"/>
        <v>2042</v>
      </c>
      <c r="AE234" s="12">
        <f t="shared" si="102"/>
        <v>52110</v>
      </c>
      <c r="AG234" s="19">
        <f t="shared" si="103"/>
        <v>0</v>
      </c>
      <c r="AH234" s="19">
        <f t="shared" si="104"/>
        <v>0</v>
      </c>
      <c r="AI234" s="19">
        <f t="shared" si="105"/>
        <v>0</v>
      </c>
      <c r="AK234" s="19">
        <f t="shared" si="106"/>
        <v>0</v>
      </c>
      <c r="AL234" s="19">
        <f ca="1">(IF(MOD(AC234,($AE$15*12)),0,$AG234-IFERROR(SUM(OFFSET(AL233,,,-$AE$15*12)),0))-SUM($AL$28:AL233)*(Z235=0))*(Z234=1)</f>
        <v>0</v>
      </c>
      <c r="AM234" s="19">
        <f t="shared" si="107"/>
        <v>0</v>
      </c>
      <c r="AN234" s="19">
        <f t="shared" si="108"/>
        <v>0</v>
      </c>
      <c r="AP234" s="19">
        <f t="shared" ca="1" si="82"/>
        <v>0</v>
      </c>
      <c r="AQ234" s="18">
        <f t="shared" si="83"/>
        <v>0.48273163288034404</v>
      </c>
    </row>
    <row r="235" spans="3:43" x14ac:dyDescent="0.25">
      <c r="C235">
        <f t="shared" si="84"/>
        <v>207</v>
      </c>
      <c r="D235">
        <f t="shared" si="85"/>
        <v>17</v>
      </c>
      <c r="E235" s="12">
        <f t="shared" si="86"/>
        <v>52140</v>
      </c>
      <c r="F235" s="12"/>
      <c r="G235" s="15">
        <f t="shared" si="87"/>
        <v>0</v>
      </c>
      <c r="H235" s="15">
        <f t="shared" si="88"/>
        <v>0</v>
      </c>
      <c r="I235" s="15"/>
      <c r="J235" s="16">
        <f t="shared" si="89"/>
        <v>0</v>
      </c>
      <c r="K235" s="16">
        <f t="shared" si="90"/>
        <v>0</v>
      </c>
      <c r="L235">
        <f t="shared" si="91"/>
        <v>0</v>
      </c>
      <c r="M235">
        <f t="shared" si="92"/>
        <v>0</v>
      </c>
      <c r="N235" s="16">
        <f t="shared" si="93"/>
        <v>0</v>
      </c>
      <c r="O235" s="16"/>
      <c r="P235" s="17">
        <f t="shared" si="94"/>
        <v>0</v>
      </c>
      <c r="Q235">
        <f>Q234/(1+Assumptions!$E$8/12)</f>
        <v>0.48102799207507807</v>
      </c>
      <c r="S235" s="17">
        <f t="shared" si="95"/>
        <v>0</v>
      </c>
      <c r="T235" s="17">
        <f>T234*(1+$K$24)*Z235</f>
        <v>0</v>
      </c>
      <c r="U235" s="17">
        <f t="shared" si="96"/>
        <v>0</v>
      </c>
      <c r="V235" s="17">
        <f t="shared" si="97"/>
        <v>0</v>
      </c>
      <c r="W235" s="17">
        <f t="shared" si="98"/>
        <v>0</v>
      </c>
      <c r="Y235">
        <f>(MONTH(E235)=MONTH(Assumptions!$E$6))*(YEAR(Assumptions!$E$6)=YEAR('Rent v Mortgage'!E235))</f>
        <v>0</v>
      </c>
      <c r="Z235">
        <f>--(SUM($Y$28:Y234)&lt;1)*AA235</f>
        <v>0</v>
      </c>
      <c r="AA235">
        <f t="shared" si="99"/>
        <v>1</v>
      </c>
      <c r="AB235" s="20"/>
      <c r="AC235">
        <f t="shared" si="100"/>
        <v>207</v>
      </c>
      <c r="AD235">
        <f t="shared" si="101"/>
        <v>2042</v>
      </c>
      <c r="AE235" s="12">
        <f t="shared" si="102"/>
        <v>52140</v>
      </c>
      <c r="AG235" s="19">
        <f t="shared" si="103"/>
        <v>0</v>
      </c>
      <c r="AH235" s="19">
        <f t="shared" si="104"/>
        <v>0</v>
      </c>
      <c r="AI235" s="19">
        <f t="shared" si="105"/>
        <v>0</v>
      </c>
      <c r="AK235" s="19">
        <f t="shared" si="106"/>
        <v>0</v>
      </c>
      <c r="AL235" s="19">
        <f ca="1">(IF(MOD(AC235,($AE$15*12)),0,$AG235-IFERROR(SUM(OFFSET(AL234,,,-$AE$15*12)),0))-SUM($AL$28:AL234)*(Z236=0))*(Z235=1)</f>
        <v>0</v>
      </c>
      <c r="AM235" s="19">
        <f t="shared" si="107"/>
        <v>0</v>
      </c>
      <c r="AN235" s="19">
        <f t="shared" si="108"/>
        <v>0</v>
      </c>
      <c r="AP235" s="19">
        <f t="shared" ca="1" si="82"/>
        <v>0</v>
      </c>
      <c r="AQ235" s="18">
        <f t="shared" si="83"/>
        <v>0.48102799207507807</v>
      </c>
    </row>
    <row r="236" spans="3:43" x14ac:dyDescent="0.25">
      <c r="C236">
        <f t="shared" si="84"/>
        <v>208</v>
      </c>
      <c r="D236">
        <f t="shared" si="85"/>
        <v>17</v>
      </c>
      <c r="E236" s="12">
        <f t="shared" si="86"/>
        <v>52171</v>
      </c>
      <c r="F236" s="12"/>
      <c r="G236" s="15">
        <f t="shared" si="87"/>
        <v>0</v>
      </c>
      <c r="H236" s="15">
        <f t="shared" si="88"/>
        <v>0</v>
      </c>
      <c r="I236" s="15"/>
      <c r="J236" s="16">
        <f t="shared" si="89"/>
        <v>0</v>
      </c>
      <c r="K236" s="16">
        <f t="shared" si="90"/>
        <v>0</v>
      </c>
      <c r="L236">
        <f t="shared" si="91"/>
        <v>0</v>
      </c>
      <c r="M236">
        <f t="shared" si="92"/>
        <v>0</v>
      </c>
      <c r="N236" s="16">
        <f t="shared" si="93"/>
        <v>0</v>
      </c>
      <c r="O236" s="16"/>
      <c r="P236" s="17">
        <f t="shared" si="94"/>
        <v>0</v>
      </c>
      <c r="Q236">
        <f>Q235/(1+Assumptions!$E$8/12)</f>
        <v>0.47933036370362769</v>
      </c>
      <c r="S236" s="17">
        <f t="shared" si="95"/>
        <v>0</v>
      </c>
      <c r="T236" s="17">
        <f>T235*(1+$K$24)*Z236</f>
        <v>0</v>
      </c>
      <c r="U236" s="17">
        <f t="shared" si="96"/>
        <v>0</v>
      </c>
      <c r="V236" s="17">
        <f t="shared" si="97"/>
        <v>0</v>
      </c>
      <c r="W236" s="17">
        <f t="shared" si="98"/>
        <v>0</v>
      </c>
      <c r="Y236">
        <f>(MONTH(E236)=MONTH(Assumptions!$E$6))*(YEAR(Assumptions!$E$6)=YEAR('Rent v Mortgage'!E236))</f>
        <v>0</v>
      </c>
      <c r="Z236">
        <f>--(SUM($Y$28:Y235)&lt;1)*AA236</f>
        <v>0</v>
      </c>
      <c r="AA236">
        <f t="shared" si="99"/>
        <v>1</v>
      </c>
      <c r="AB236" s="20"/>
      <c r="AC236">
        <f t="shared" si="100"/>
        <v>208</v>
      </c>
      <c r="AD236">
        <f t="shared" si="101"/>
        <v>2042</v>
      </c>
      <c r="AE236" s="12">
        <f t="shared" si="102"/>
        <v>52171</v>
      </c>
      <c r="AG236" s="19">
        <f t="shared" si="103"/>
        <v>0</v>
      </c>
      <c r="AH236" s="19">
        <f t="shared" si="104"/>
        <v>0</v>
      </c>
      <c r="AI236" s="19">
        <f t="shared" si="105"/>
        <v>0</v>
      </c>
      <c r="AK236" s="19">
        <f t="shared" si="106"/>
        <v>0</v>
      </c>
      <c r="AL236" s="19">
        <f ca="1">(IF(MOD(AC236,($AE$15*12)),0,$AG236-IFERROR(SUM(OFFSET(AL235,,,-$AE$15*12)),0))-SUM($AL$28:AL235)*(Z237=0))*(Z236=1)</f>
        <v>0</v>
      </c>
      <c r="AM236" s="19">
        <f t="shared" si="107"/>
        <v>0</v>
      </c>
      <c r="AN236" s="19">
        <f t="shared" si="108"/>
        <v>0</v>
      </c>
      <c r="AP236" s="19">
        <f t="shared" ca="1" si="82"/>
        <v>0</v>
      </c>
      <c r="AQ236" s="18">
        <f t="shared" si="83"/>
        <v>0.47933036370362769</v>
      </c>
    </row>
    <row r="237" spans="3:43" x14ac:dyDescent="0.25">
      <c r="C237">
        <f t="shared" si="84"/>
        <v>209</v>
      </c>
      <c r="D237">
        <f t="shared" si="85"/>
        <v>17</v>
      </c>
      <c r="E237" s="12">
        <f t="shared" si="86"/>
        <v>52201</v>
      </c>
      <c r="F237" s="12"/>
      <c r="G237" s="15">
        <f t="shared" si="87"/>
        <v>0</v>
      </c>
      <c r="H237" s="15">
        <f t="shared" si="88"/>
        <v>0</v>
      </c>
      <c r="I237" s="15"/>
      <c r="J237" s="16">
        <f t="shared" si="89"/>
        <v>0</v>
      </c>
      <c r="K237" s="16">
        <f t="shared" si="90"/>
        <v>0</v>
      </c>
      <c r="L237">
        <f t="shared" si="91"/>
        <v>0</v>
      </c>
      <c r="M237">
        <f t="shared" si="92"/>
        <v>0</v>
      </c>
      <c r="N237" s="16">
        <f t="shared" si="93"/>
        <v>0</v>
      </c>
      <c r="O237" s="16"/>
      <c r="P237" s="17">
        <f t="shared" si="94"/>
        <v>0</v>
      </c>
      <c r="Q237">
        <f>Q236/(1+Assumptions!$E$8/12)</f>
        <v>0.47763872654710665</v>
      </c>
      <c r="S237" s="17">
        <f t="shared" si="95"/>
        <v>0</v>
      </c>
      <c r="T237" s="17">
        <f>T236*(1+$K$24)*Z237</f>
        <v>0</v>
      </c>
      <c r="U237" s="17">
        <f t="shared" si="96"/>
        <v>0</v>
      </c>
      <c r="V237" s="17">
        <f t="shared" si="97"/>
        <v>0</v>
      </c>
      <c r="W237" s="17">
        <f t="shared" si="98"/>
        <v>0</v>
      </c>
      <c r="Y237">
        <f>(MONTH(E237)=MONTH(Assumptions!$E$6))*(YEAR(Assumptions!$E$6)=YEAR('Rent v Mortgage'!E237))</f>
        <v>0</v>
      </c>
      <c r="Z237">
        <f>--(SUM($Y$28:Y236)&lt;1)*AA237</f>
        <v>0</v>
      </c>
      <c r="AA237">
        <f t="shared" si="99"/>
        <v>1</v>
      </c>
      <c r="AB237" s="20"/>
      <c r="AC237">
        <f t="shared" si="100"/>
        <v>209</v>
      </c>
      <c r="AD237">
        <f t="shared" si="101"/>
        <v>2042</v>
      </c>
      <c r="AE237" s="12">
        <f t="shared" si="102"/>
        <v>52201</v>
      </c>
      <c r="AG237" s="19">
        <f t="shared" si="103"/>
        <v>0</v>
      </c>
      <c r="AH237" s="19">
        <f t="shared" si="104"/>
        <v>0</v>
      </c>
      <c r="AI237" s="19">
        <f t="shared" si="105"/>
        <v>0</v>
      </c>
      <c r="AK237" s="19">
        <f t="shared" si="106"/>
        <v>0</v>
      </c>
      <c r="AL237" s="19">
        <f ca="1">(IF(MOD(AC237,($AE$15*12)),0,$AG237-IFERROR(SUM(OFFSET(AL236,,,-$AE$15*12)),0))-SUM($AL$28:AL236)*(Z238=0))*(Z237=1)</f>
        <v>0</v>
      </c>
      <c r="AM237" s="19">
        <f t="shared" si="107"/>
        <v>0</v>
      </c>
      <c r="AN237" s="19">
        <f t="shared" si="108"/>
        <v>0</v>
      </c>
      <c r="AP237" s="19">
        <f t="shared" ca="1" si="82"/>
        <v>0</v>
      </c>
      <c r="AQ237" s="18">
        <f t="shared" si="83"/>
        <v>0.47763872654710665</v>
      </c>
    </row>
    <row r="238" spans="3:43" x14ac:dyDescent="0.25">
      <c r="C238">
        <f t="shared" si="84"/>
        <v>210</v>
      </c>
      <c r="D238">
        <f t="shared" si="85"/>
        <v>17</v>
      </c>
      <c r="E238" s="12">
        <f t="shared" si="86"/>
        <v>52232</v>
      </c>
      <c r="F238" s="12"/>
      <c r="G238" s="15">
        <f t="shared" si="87"/>
        <v>0</v>
      </c>
      <c r="H238" s="15">
        <f t="shared" si="88"/>
        <v>0</v>
      </c>
      <c r="I238" s="15"/>
      <c r="J238" s="16">
        <f t="shared" si="89"/>
        <v>0</v>
      </c>
      <c r="K238" s="16">
        <f t="shared" si="90"/>
        <v>0</v>
      </c>
      <c r="L238">
        <f t="shared" si="91"/>
        <v>0</v>
      </c>
      <c r="M238">
        <f t="shared" si="92"/>
        <v>0</v>
      </c>
      <c r="N238" s="16">
        <f t="shared" si="93"/>
        <v>0</v>
      </c>
      <c r="O238" s="16"/>
      <c r="P238" s="17">
        <f t="shared" si="94"/>
        <v>0</v>
      </c>
      <c r="Q238">
        <f>Q237/(1+Assumptions!$E$8/12)</f>
        <v>0.47595305946151373</v>
      </c>
      <c r="S238" s="17">
        <f t="shared" si="95"/>
        <v>0</v>
      </c>
      <c r="T238" s="17">
        <f>T237*(1+$K$24)*Z238</f>
        <v>0</v>
      </c>
      <c r="U238" s="17">
        <f t="shared" si="96"/>
        <v>0</v>
      </c>
      <c r="V238" s="17">
        <f t="shared" si="97"/>
        <v>0</v>
      </c>
      <c r="W238" s="17">
        <f t="shared" si="98"/>
        <v>0</v>
      </c>
      <c r="Y238">
        <f>(MONTH(E238)=MONTH(Assumptions!$E$6))*(YEAR(Assumptions!$E$6)=YEAR('Rent v Mortgage'!E238))</f>
        <v>0</v>
      </c>
      <c r="Z238">
        <f>--(SUM($Y$28:Y237)&lt;1)*AA238</f>
        <v>0</v>
      </c>
      <c r="AA238">
        <f t="shared" si="99"/>
        <v>1</v>
      </c>
      <c r="AB238" s="20"/>
      <c r="AC238">
        <f t="shared" si="100"/>
        <v>210</v>
      </c>
      <c r="AD238">
        <f t="shared" si="101"/>
        <v>2043</v>
      </c>
      <c r="AE238" s="12">
        <f t="shared" si="102"/>
        <v>52232</v>
      </c>
      <c r="AG238" s="19">
        <f t="shared" si="103"/>
        <v>0</v>
      </c>
      <c r="AH238" s="19">
        <f t="shared" si="104"/>
        <v>0</v>
      </c>
      <c r="AI238" s="19">
        <f t="shared" si="105"/>
        <v>0</v>
      </c>
      <c r="AK238" s="19">
        <f t="shared" si="106"/>
        <v>0</v>
      </c>
      <c r="AL238" s="19">
        <f ca="1">(IF(MOD(AC238,($AE$15*12)),0,$AG238-IFERROR(SUM(OFFSET(AL237,,,-$AE$15*12)),0))-SUM($AL$28:AL237)*(Z239=0))*(Z238=1)</f>
        <v>0</v>
      </c>
      <c r="AM238" s="19">
        <f t="shared" si="107"/>
        <v>0</v>
      </c>
      <c r="AN238" s="19">
        <f t="shared" si="108"/>
        <v>0</v>
      </c>
      <c r="AP238" s="19">
        <f t="shared" ca="1" si="82"/>
        <v>0</v>
      </c>
      <c r="AQ238" s="18">
        <f t="shared" si="83"/>
        <v>0.47595305946151373</v>
      </c>
    </row>
    <row r="239" spans="3:43" x14ac:dyDescent="0.25">
      <c r="C239">
        <f t="shared" si="84"/>
        <v>211</v>
      </c>
      <c r="D239">
        <f t="shared" si="85"/>
        <v>17</v>
      </c>
      <c r="E239" s="12">
        <f t="shared" si="86"/>
        <v>52263</v>
      </c>
      <c r="F239" s="12"/>
      <c r="G239" s="15">
        <f t="shared" si="87"/>
        <v>0</v>
      </c>
      <c r="H239" s="15">
        <f t="shared" si="88"/>
        <v>0</v>
      </c>
      <c r="I239" s="15"/>
      <c r="J239" s="16">
        <f t="shared" si="89"/>
        <v>0</v>
      </c>
      <c r="K239" s="16">
        <f t="shared" si="90"/>
        <v>0</v>
      </c>
      <c r="L239">
        <f t="shared" si="91"/>
        <v>0</v>
      </c>
      <c r="M239">
        <f t="shared" si="92"/>
        <v>0</v>
      </c>
      <c r="N239" s="16">
        <f t="shared" si="93"/>
        <v>0</v>
      </c>
      <c r="O239" s="16"/>
      <c r="P239" s="17">
        <f t="shared" si="94"/>
        <v>0</v>
      </c>
      <c r="Q239">
        <f>Q238/(1+Assumptions!$E$8/12)</f>
        <v>0.47427334137746846</v>
      </c>
      <c r="S239" s="17">
        <f t="shared" si="95"/>
        <v>0</v>
      </c>
      <c r="T239" s="17">
        <f>T238*(1+$K$24)*Z239</f>
        <v>0</v>
      </c>
      <c r="U239" s="17">
        <f t="shared" si="96"/>
        <v>0</v>
      </c>
      <c r="V239" s="17">
        <f t="shared" si="97"/>
        <v>0</v>
      </c>
      <c r="W239" s="17">
        <f t="shared" si="98"/>
        <v>0</v>
      </c>
      <c r="Y239">
        <f>(MONTH(E239)=MONTH(Assumptions!$E$6))*(YEAR(Assumptions!$E$6)=YEAR('Rent v Mortgage'!E239))</f>
        <v>0</v>
      </c>
      <c r="Z239">
        <f>--(SUM($Y$28:Y238)&lt;1)*AA239</f>
        <v>0</v>
      </c>
      <c r="AA239">
        <f t="shared" si="99"/>
        <v>1</v>
      </c>
      <c r="AB239" s="20"/>
      <c r="AC239">
        <f t="shared" si="100"/>
        <v>211</v>
      </c>
      <c r="AD239">
        <f t="shared" si="101"/>
        <v>2043</v>
      </c>
      <c r="AE239" s="12">
        <f t="shared" si="102"/>
        <v>52263</v>
      </c>
      <c r="AG239" s="19">
        <f t="shared" si="103"/>
        <v>0</v>
      </c>
      <c r="AH239" s="19">
        <f t="shared" si="104"/>
        <v>0</v>
      </c>
      <c r="AI239" s="19">
        <f t="shared" si="105"/>
        <v>0</v>
      </c>
      <c r="AK239" s="19">
        <f t="shared" si="106"/>
        <v>0</v>
      </c>
      <c r="AL239" s="19">
        <f ca="1">(IF(MOD(AC239,($AE$15*12)),0,$AG239-IFERROR(SUM(OFFSET(AL238,,,-$AE$15*12)),0))-SUM($AL$28:AL238)*(Z240=0))*(Z239=1)</f>
        <v>0</v>
      </c>
      <c r="AM239" s="19">
        <f t="shared" si="107"/>
        <v>0</v>
      </c>
      <c r="AN239" s="19">
        <f t="shared" si="108"/>
        <v>0</v>
      </c>
      <c r="AP239" s="19">
        <f t="shared" ca="1" si="82"/>
        <v>0</v>
      </c>
      <c r="AQ239" s="18">
        <f t="shared" si="83"/>
        <v>0.47427334137746846</v>
      </c>
    </row>
    <row r="240" spans="3:43" x14ac:dyDescent="0.25">
      <c r="C240">
        <f t="shared" si="84"/>
        <v>212</v>
      </c>
      <c r="D240">
        <f t="shared" si="85"/>
        <v>17</v>
      </c>
      <c r="E240" s="12">
        <f t="shared" si="86"/>
        <v>52291</v>
      </c>
      <c r="F240" s="12"/>
      <c r="G240" s="15">
        <f t="shared" si="87"/>
        <v>0</v>
      </c>
      <c r="H240" s="15">
        <f t="shared" si="88"/>
        <v>0</v>
      </c>
      <c r="I240" s="15"/>
      <c r="J240" s="16">
        <f t="shared" si="89"/>
        <v>0</v>
      </c>
      <c r="K240" s="16">
        <f t="shared" si="90"/>
        <v>0</v>
      </c>
      <c r="L240">
        <f t="shared" si="91"/>
        <v>0</v>
      </c>
      <c r="M240">
        <f t="shared" si="92"/>
        <v>0</v>
      </c>
      <c r="N240" s="16">
        <f t="shared" si="93"/>
        <v>0</v>
      </c>
      <c r="O240" s="16"/>
      <c r="P240" s="17">
        <f t="shared" si="94"/>
        <v>0</v>
      </c>
      <c r="Q240">
        <f>Q239/(1+Assumptions!$E$8/12)</f>
        <v>0.47259955129994774</v>
      </c>
      <c r="S240" s="17">
        <f t="shared" si="95"/>
        <v>0</v>
      </c>
      <c r="T240" s="17">
        <f>T239*(1+$K$24)*Z240</f>
        <v>0</v>
      </c>
      <c r="U240" s="17">
        <f t="shared" si="96"/>
        <v>0</v>
      </c>
      <c r="V240" s="17">
        <f t="shared" si="97"/>
        <v>0</v>
      </c>
      <c r="W240" s="17">
        <f t="shared" si="98"/>
        <v>0</v>
      </c>
      <c r="Y240">
        <f>(MONTH(E240)=MONTH(Assumptions!$E$6))*(YEAR(Assumptions!$E$6)=YEAR('Rent v Mortgage'!E240))</f>
        <v>0</v>
      </c>
      <c r="Z240">
        <f>--(SUM($Y$28:Y239)&lt;1)*AA240</f>
        <v>0</v>
      </c>
      <c r="AA240">
        <f t="shared" si="99"/>
        <v>1</v>
      </c>
      <c r="AB240" s="20"/>
      <c r="AC240">
        <f t="shared" si="100"/>
        <v>212</v>
      </c>
      <c r="AD240">
        <f t="shared" si="101"/>
        <v>2043</v>
      </c>
      <c r="AE240" s="12">
        <f t="shared" si="102"/>
        <v>52291</v>
      </c>
      <c r="AG240" s="19">
        <f t="shared" si="103"/>
        <v>0</v>
      </c>
      <c r="AH240" s="19">
        <f t="shared" si="104"/>
        <v>0</v>
      </c>
      <c r="AI240" s="19">
        <f t="shared" si="105"/>
        <v>0</v>
      </c>
      <c r="AK240" s="19">
        <f t="shared" si="106"/>
        <v>0</v>
      </c>
      <c r="AL240" s="19">
        <f ca="1">(IF(MOD(AC240,($AE$15*12)),0,$AG240-IFERROR(SUM(OFFSET(AL239,,,-$AE$15*12)),0))-SUM($AL$28:AL239)*(Z241=0))*(Z240=1)</f>
        <v>0</v>
      </c>
      <c r="AM240" s="19">
        <f t="shared" si="107"/>
        <v>0</v>
      </c>
      <c r="AN240" s="19">
        <f t="shared" si="108"/>
        <v>0</v>
      </c>
      <c r="AP240" s="19">
        <f t="shared" ca="1" si="82"/>
        <v>0</v>
      </c>
      <c r="AQ240" s="18">
        <f t="shared" si="83"/>
        <v>0.47259955129994774</v>
      </c>
    </row>
    <row r="241" spans="3:43" x14ac:dyDescent="0.25">
      <c r="C241">
        <f t="shared" si="84"/>
        <v>213</v>
      </c>
      <c r="D241">
        <f t="shared" si="85"/>
        <v>17</v>
      </c>
      <c r="E241" s="12">
        <f t="shared" si="86"/>
        <v>52322</v>
      </c>
      <c r="F241" s="12"/>
      <c r="G241" s="15">
        <f t="shared" si="87"/>
        <v>0</v>
      </c>
      <c r="H241" s="15">
        <f t="shared" si="88"/>
        <v>0</v>
      </c>
      <c r="I241" s="15"/>
      <c r="J241" s="16">
        <f t="shared" si="89"/>
        <v>0</v>
      </c>
      <c r="K241" s="16">
        <f t="shared" si="90"/>
        <v>0</v>
      </c>
      <c r="L241">
        <f t="shared" si="91"/>
        <v>0</v>
      </c>
      <c r="M241">
        <f t="shared" si="92"/>
        <v>0</v>
      </c>
      <c r="N241" s="16">
        <f t="shared" si="93"/>
        <v>0</v>
      </c>
      <c r="O241" s="16"/>
      <c r="P241" s="17">
        <f t="shared" si="94"/>
        <v>0</v>
      </c>
      <c r="Q241">
        <f>Q240/(1+Assumptions!$E$8/12)</f>
        <v>0.47093166830802347</v>
      </c>
      <c r="S241" s="17">
        <f t="shared" si="95"/>
        <v>0</v>
      </c>
      <c r="T241" s="17">
        <f>T240*(1+$K$24)*Z241</f>
        <v>0</v>
      </c>
      <c r="U241" s="17">
        <f t="shared" si="96"/>
        <v>0</v>
      </c>
      <c r="V241" s="17">
        <f t="shared" si="97"/>
        <v>0</v>
      </c>
      <c r="W241" s="17">
        <f t="shared" si="98"/>
        <v>0</v>
      </c>
      <c r="Y241">
        <f>(MONTH(E241)=MONTH(Assumptions!$E$6))*(YEAR(Assumptions!$E$6)=YEAR('Rent v Mortgage'!E241))</f>
        <v>0</v>
      </c>
      <c r="Z241">
        <f>--(SUM($Y$28:Y240)&lt;1)*AA241</f>
        <v>0</v>
      </c>
      <c r="AA241">
        <f t="shared" si="99"/>
        <v>1</v>
      </c>
      <c r="AB241" s="20"/>
      <c r="AC241">
        <f t="shared" si="100"/>
        <v>213</v>
      </c>
      <c r="AD241">
        <f t="shared" si="101"/>
        <v>2043</v>
      </c>
      <c r="AE241" s="12">
        <f t="shared" si="102"/>
        <v>52322</v>
      </c>
      <c r="AG241" s="19">
        <f t="shared" si="103"/>
        <v>0</v>
      </c>
      <c r="AH241" s="19">
        <f t="shared" si="104"/>
        <v>0</v>
      </c>
      <c r="AI241" s="19">
        <f t="shared" si="105"/>
        <v>0</v>
      </c>
      <c r="AK241" s="19">
        <f t="shared" si="106"/>
        <v>0</v>
      </c>
      <c r="AL241" s="19">
        <f ca="1">(IF(MOD(AC241,($AE$15*12)),0,$AG241-IFERROR(SUM(OFFSET(AL240,,,-$AE$15*12)),0))-SUM($AL$28:AL240)*(Z242=0))*(Z241=1)</f>
        <v>0</v>
      </c>
      <c r="AM241" s="19">
        <f t="shared" si="107"/>
        <v>0</v>
      </c>
      <c r="AN241" s="19">
        <f t="shared" si="108"/>
        <v>0</v>
      </c>
      <c r="AP241" s="19">
        <f t="shared" ca="1" si="82"/>
        <v>0</v>
      </c>
      <c r="AQ241" s="18">
        <f t="shared" si="83"/>
        <v>0.47093166830802347</v>
      </c>
    </row>
    <row r="242" spans="3:43" x14ac:dyDescent="0.25">
      <c r="C242">
        <f t="shared" si="84"/>
        <v>214</v>
      </c>
      <c r="D242">
        <f t="shared" si="85"/>
        <v>17</v>
      </c>
      <c r="E242" s="12">
        <f t="shared" si="86"/>
        <v>52352</v>
      </c>
      <c r="F242" s="12"/>
      <c r="G242" s="15">
        <f t="shared" si="87"/>
        <v>0</v>
      </c>
      <c r="H242" s="15">
        <f t="shared" si="88"/>
        <v>0</v>
      </c>
      <c r="I242" s="15"/>
      <c r="J242" s="16">
        <f t="shared" si="89"/>
        <v>0</v>
      </c>
      <c r="K242" s="16">
        <f t="shared" si="90"/>
        <v>0</v>
      </c>
      <c r="L242">
        <f t="shared" si="91"/>
        <v>0</v>
      </c>
      <c r="M242">
        <f t="shared" si="92"/>
        <v>0</v>
      </c>
      <c r="N242" s="16">
        <f t="shared" si="93"/>
        <v>0</v>
      </c>
      <c r="O242" s="16"/>
      <c r="P242" s="17">
        <f t="shared" si="94"/>
        <v>0</v>
      </c>
      <c r="Q242">
        <f>Q241/(1+Assumptions!$E$8/12)</f>
        <v>0.46926967155460086</v>
      </c>
      <c r="S242" s="17">
        <f t="shared" si="95"/>
        <v>0</v>
      </c>
      <c r="T242" s="17">
        <f>T241*(1+$K$24)*Z242</f>
        <v>0</v>
      </c>
      <c r="U242" s="17">
        <f t="shared" si="96"/>
        <v>0</v>
      </c>
      <c r="V242" s="17">
        <f t="shared" si="97"/>
        <v>0</v>
      </c>
      <c r="W242" s="17">
        <f t="shared" si="98"/>
        <v>0</v>
      </c>
      <c r="Y242">
        <f>(MONTH(E242)=MONTH(Assumptions!$E$6))*(YEAR(Assumptions!$E$6)=YEAR('Rent v Mortgage'!E242))</f>
        <v>0</v>
      </c>
      <c r="Z242">
        <f>--(SUM($Y$28:Y241)&lt;1)*AA242</f>
        <v>0</v>
      </c>
      <c r="AA242">
        <f t="shared" si="99"/>
        <v>1</v>
      </c>
      <c r="AB242" s="20"/>
      <c r="AC242">
        <f t="shared" si="100"/>
        <v>214</v>
      </c>
      <c r="AD242">
        <f t="shared" si="101"/>
        <v>2043</v>
      </c>
      <c r="AE242" s="12">
        <f t="shared" si="102"/>
        <v>52352</v>
      </c>
      <c r="AG242" s="19">
        <f t="shared" si="103"/>
        <v>0</v>
      </c>
      <c r="AH242" s="19">
        <f t="shared" si="104"/>
        <v>0</v>
      </c>
      <c r="AI242" s="19">
        <f t="shared" si="105"/>
        <v>0</v>
      </c>
      <c r="AK242" s="19">
        <f t="shared" si="106"/>
        <v>0</v>
      </c>
      <c r="AL242" s="19">
        <f ca="1">(IF(MOD(AC242,($AE$15*12)),0,$AG242-IFERROR(SUM(OFFSET(AL241,,,-$AE$15*12)),0))-SUM($AL$28:AL241)*(Z243=0))*(Z242=1)</f>
        <v>0</v>
      </c>
      <c r="AM242" s="19">
        <f t="shared" si="107"/>
        <v>0</v>
      </c>
      <c r="AN242" s="19">
        <f t="shared" si="108"/>
        <v>0</v>
      </c>
      <c r="AP242" s="19">
        <f t="shared" ca="1" si="82"/>
        <v>0</v>
      </c>
      <c r="AQ242" s="18">
        <f t="shared" si="83"/>
        <v>0.46926967155460086</v>
      </c>
    </row>
    <row r="243" spans="3:43" x14ac:dyDescent="0.25">
      <c r="C243">
        <f t="shared" si="84"/>
        <v>215</v>
      </c>
      <c r="D243">
        <f t="shared" si="85"/>
        <v>17</v>
      </c>
      <c r="E243" s="12">
        <f t="shared" si="86"/>
        <v>52383</v>
      </c>
      <c r="F243" s="12"/>
      <c r="G243" s="15">
        <f t="shared" si="87"/>
        <v>0</v>
      </c>
      <c r="H243" s="15">
        <f t="shared" si="88"/>
        <v>0</v>
      </c>
      <c r="I243" s="15"/>
      <c r="J243" s="16">
        <f t="shared" si="89"/>
        <v>0</v>
      </c>
      <c r="K243" s="16">
        <f t="shared" si="90"/>
        <v>0</v>
      </c>
      <c r="L243">
        <f t="shared" si="91"/>
        <v>0</v>
      </c>
      <c r="M243">
        <f t="shared" si="92"/>
        <v>0</v>
      </c>
      <c r="N243" s="16">
        <f t="shared" si="93"/>
        <v>0</v>
      </c>
      <c r="O243" s="16"/>
      <c r="P243" s="17">
        <f t="shared" si="94"/>
        <v>0</v>
      </c>
      <c r="Q243">
        <f>Q242/(1+Assumptions!$E$8/12)</f>
        <v>0.46761354026615815</v>
      </c>
      <c r="S243" s="17">
        <f t="shared" si="95"/>
        <v>0</v>
      </c>
      <c r="T243" s="17">
        <f>T242*(1+$K$24)*Z243</f>
        <v>0</v>
      </c>
      <c r="U243" s="17">
        <f t="shared" si="96"/>
        <v>0</v>
      </c>
      <c r="V243" s="17">
        <f t="shared" si="97"/>
        <v>0</v>
      </c>
      <c r="W243" s="17">
        <f t="shared" si="98"/>
        <v>0</v>
      </c>
      <c r="Y243">
        <f>(MONTH(E243)=MONTH(Assumptions!$E$6))*(YEAR(Assumptions!$E$6)=YEAR('Rent v Mortgage'!E243))</f>
        <v>0</v>
      </c>
      <c r="Z243">
        <f>--(SUM($Y$28:Y242)&lt;1)*AA243</f>
        <v>0</v>
      </c>
      <c r="AA243">
        <f t="shared" si="99"/>
        <v>1</v>
      </c>
      <c r="AB243" s="20"/>
      <c r="AC243">
        <f t="shared" si="100"/>
        <v>215</v>
      </c>
      <c r="AD243">
        <f t="shared" si="101"/>
        <v>2043</v>
      </c>
      <c r="AE243" s="12">
        <f t="shared" si="102"/>
        <v>52383</v>
      </c>
      <c r="AG243" s="19">
        <f t="shared" si="103"/>
        <v>0</v>
      </c>
      <c r="AH243" s="19">
        <f t="shared" si="104"/>
        <v>0</v>
      </c>
      <c r="AI243" s="19">
        <f t="shared" si="105"/>
        <v>0</v>
      </c>
      <c r="AK243" s="19">
        <f t="shared" si="106"/>
        <v>0</v>
      </c>
      <c r="AL243" s="19">
        <f ca="1">(IF(MOD(AC243,($AE$15*12)),0,$AG243-IFERROR(SUM(OFFSET(AL242,,,-$AE$15*12)),0))-SUM($AL$28:AL242)*(Z244=0))*(Z243=1)</f>
        <v>0</v>
      </c>
      <c r="AM243" s="19">
        <f t="shared" si="107"/>
        <v>0</v>
      </c>
      <c r="AN243" s="19">
        <f t="shared" si="108"/>
        <v>0</v>
      </c>
      <c r="AP243" s="19">
        <f t="shared" ca="1" si="82"/>
        <v>0</v>
      </c>
      <c r="AQ243" s="18">
        <f t="shared" si="83"/>
        <v>0.46761354026615815</v>
      </c>
    </row>
    <row r="244" spans="3:43" x14ac:dyDescent="0.25">
      <c r="C244">
        <f t="shared" si="84"/>
        <v>216</v>
      </c>
      <c r="D244">
        <f t="shared" si="85"/>
        <v>18</v>
      </c>
      <c r="E244" s="12">
        <f t="shared" si="86"/>
        <v>52413</v>
      </c>
      <c r="F244" s="12"/>
      <c r="G244" s="15">
        <f t="shared" si="87"/>
        <v>0</v>
      </c>
      <c r="H244" s="15">
        <f t="shared" si="88"/>
        <v>0</v>
      </c>
      <c r="I244" s="15"/>
      <c r="J244" s="16">
        <f t="shared" si="89"/>
        <v>0</v>
      </c>
      <c r="K244" s="16">
        <f t="shared" si="90"/>
        <v>0</v>
      </c>
      <c r="L244">
        <f t="shared" si="91"/>
        <v>0</v>
      </c>
      <c r="M244">
        <f t="shared" si="92"/>
        <v>0</v>
      </c>
      <c r="N244" s="16">
        <f t="shared" si="93"/>
        <v>0</v>
      </c>
      <c r="O244" s="16"/>
      <c r="P244" s="17">
        <f t="shared" si="94"/>
        <v>0</v>
      </c>
      <c r="Q244">
        <f>Q243/(1+Assumptions!$E$8/12)</f>
        <v>0.46596325374248676</v>
      </c>
      <c r="S244" s="17">
        <f t="shared" si="95"/>
        <v>0</v>
      </c>
      <c r="T244" s="17">
        <f>T243*(1+$K$24)*Z244</f>
        <v>0</v>
      </c>
      <c r="U244" s="17">
        <f t="shared" si="96"/>
        <v>0</v>
      </c>
      <c r="V244" s="17">
        <f t="shared" si="97"/>
        <v>0</v>
      </c>
      <c r="W244" s="17">
        <f t="shared" si="98"/>
        <v>0</v>
      </c>
      <c r="Y244">
        <f>(MONTH(E244)=MONTH(Assumptions!$E$6))*(YEAR(Assumptions!$E$6)=YEAR('Rent v Mortgage'!E244))</f>
        <v>0</v>
      </c>
      <c r="Z244">
        <f>--(SUM($Y$28:Y243)&lt;1)*AA244</f>
        <v>0</v>
      </c>
      <c r="AA244">
        <f t="shared" si="99"/>
        <v>1</v>
      </c>
      <c r="AB244" s="20"/>
      <c r="AC244">
        <f t="shared" si="100"/>
        <v>216</v>
      </c>
      <c r="AD244">
        <f t="shared" si="101"/>
        <v>2043</v>
      </c>
      <c r="AE244" s="12">
        <f t="shared" si="102"/>
        <v>52413</v>
      </c>
      <c r="AG244" s="19">
        <f t="shared" si="103"/>
        <v>0</v>
      </c>
      <c r="AH244" s="19">
        <f t="shared" si="104"/>
        <v>0</v>
      </c>
      <c r="AI244" s="19">
        <f t="shared" si="105"/>
        <v>0</v>
      </c>
      <c r="AK244" s="19">
        <f t="shared" si="106"/>
        <v>0</v>
      </c>
      <c r="AL244" s="19">
        <f ca="1">(IF(MOD(AC244,($AE$15*12)),0,$AG244-IFERROR(SUM(OFFSET(AL243,,,-$AE$15*12)),0))-SUM($AL$28:AL243)*(Z245=0))*(Z244=1)</f>
        <v>0</v>
      </c>
      <c r="AM244" s="19">
        <f t="shared" si="107"/>
        <v>0</v>
      </c>
      <c r="AN244" s="19">
        <f t="shared" si="108"/>
        <v>0</v>
      </c>
      <c r="AP244" s="19">
        <f t="shared" ca="1" si="82"/>
        <v>0</v>
      </c>
      <c r="AQ244" s="18">
        <f t="shared" si="83"/>
        <v>0.46596325374248676</v>
      </c>
    </row>
    <row r="245" spans="3:43" x14ac:dyDescent="0.25">
      <c r="C245">
        <f t="shared" si="84"/>
        <v>217</v>
      </c>
      <c r="D245">
        <f t="shared" si="85"/>
        <v>18</v>
      </c>
      <c r="E245" s="12">
        <f t="shared" si="86"/>
        <v>52444</v>
      </c>
      <c r="F245" s="12"/>
      <c r="G245" s="15">
        <f t="shared" si="87"/>
        <v>0</v>
      </c>
      <c r="H245" s="15">
        <f t="shared" si="88"/>
        <v>0</v>
      </c>
      <c r="I245" s="15"/>
      <c r="J245" s="16">
        <f t="shared" si="89"/>
        <v>0</v>
      </c>
      <c r="K245" s="16">
        <f t="shared" si="90"/>
        <v>0</v>
      </c>
      <c r="L245">
        <f t="shared" si="91"/>
        <v>0</v>
      </c>
      <c r="M245">
        <f t="shared" si="92"/>
        <v>0</v>
      </c>
      <c r="N245" s="16">
        <f t="shared" si="93"/>
        <v>0</v>
      </c>
      <c r="O245" s="16"/>
      <c r="P245" s="17">
        <f t="shared" si="94"/>
        <v>0</v>
      </c>
      <c r="Q245">
        <f>Q244/(1+Assumptions!$E$8/12)</f>
        <v>0.46431879135643267</v>
      </c>
      <c r="S245" s="17">
        <f t="shared" si="95"/>
        <v>0</v>
      </c>
      <c r="T245" s="17">
        <f>T244*(1+$K$24)*Z245</f>
        <v>0</v>
      </c>
      <c r="U245" s="17">
        <f t="shared" si="96"/>
        <v>0</v>
      </c>
      <c r="V245" s="17">
        <f t="shared" si="97"/>
        <v>0</v>
      </c>
      <c r="W245" s="17">
        <f t="shared" si="98"/>
        <v>0</v>
      </c>
      <c r="Y245">
        <f>(MONTH(E245)=MONTH(Assumptions!$E$6))*(YEAR(Assumptions!$E$6)=YEAR('Rent v Mortgage'!E245))</f>
        <v>0</v>
      </c>
      <c r="Z245">
        <f>--(SUM($Y$28:Y244)&lt;1)*AA245</f>
        <v>0</v>
      </c>
      <c r="AA245">
        <f t="shared" si="99"/>
        <v>1</v>
      </c>
      <c r="AB245" s="20"/>
      <c r="AC245">
        <f t="shared" si="100"/>
        <v>217</v>
      </c>
      <c r="AD245">
        <f t="shared" si="101"/>
        <v>2043</v>
      </c>
      <c r="AE245" s="12">
        <f t="shared" si="102"/>
        <v>52444</v>
      </c>
      <c r="AG245" s="19">
        <f t="shared" si="103"/>
        <v>0</v>
      </c>
      <c r="AH245" s="19">
        <f t="shared" si="104"/>
        <v>0</v>
      </c>
      <c r="AI245" s="19">
        <f t="shared" si="105"/>
        <v>0</v>
      </c>
      <c r="AK245" s="19">
        <f t="shared" si="106"/>
        <v>0</v>
      </c>
      <c r="AL245" s="19">
        <f ca="1">(IF(MOD(AC245,($AE$15*12)),0,$AG245-IFERROR(SUM(OFFSET(AL244,,,-$AE$15*12)),0))-SUM($AL$28:AL244)*(Z246=0))*(Z245=1)</f>
        <v>0</v>
      </c>
      <c r="AM245" s="19">
        <f t="shared" si="107"/>
        <v>0</v>
      </c>
      <c r="AN245" s="19">
        <f t="shared" si="108"/>
        <v>0</v>
      </c>
      <c r="AP245" s="19">
        <f t="shared" ca="1" si="82"/>
        <v>0</v>
      </c>
      <c r="AQ245" s="18">
        <f t="shared" si="83"/>
        <v>0.46431879135643267</v>
      </c>
    </row>
    <row r="246" spans="3:43" x14ac:dyDescent="0.25">
      <c r="C246">
        <f t="shared" si="84"/>
        <v>218</v>
      </c>
      <c r="D246">
        <f t="shared" si="85"/>
        <v>18</v>
      </c>
      <c r="E246" s="12">
        <f t="shared" si="86"/>
        <v>52475</v>
      </c>
      <c r="F246" s="12"/>
      <c r="G246" s="15">
        <f t="shared" si="87"/>
        <v>0</v>
      </c>
      <c r="H246" s="15">
        <f t="shared" si="88"/>
        <v>0</v>
      </c>
      <c r="I246" s="15"/>
      <c r="J246" s="16">
        <f t="shared" si="89"/>
        <v>0</v>
      </c>
      <c r="K246" s="16">
        <f t="shared" si="90"/>
        <v>0</v>
      </c>
      <c r="L246">
        <f t="shared" si="91"/>
        <v>0</v>
      </c>
      <c r="M246">
        <f t="shared" si="92"/>
        <v>0</v>
      </c>
      <c r="N246" s="16">
        <f t="shared" si="93"/>
        <v>0</v>
      </c>
      <c r="O246" s="16"/>
      <c r="P246" s="17">
        <f t="shared" si="94"/>
        <v>0</v>
      </c>
      <c r="Q246">
        <f>Q245/(1+Assumptions!$E$8/12)</f>
        <v>0.46268013255363849</v>
      </c>
      <c r="S246" s="17">
        <f t="shared" si="95"/>
        <v>0</v>
      </c>
      <c r="T246" s="17">
        <f>T245*(1+$K$24)*Z246</f>
        <v>0</v>
      </c>
      <c r="U246" s="17">
        <f t="shared" si="96"/>
        <v>0</v>
      </c>
      <c r="V246" s="17">
        <f t="shared" si="97"/>
        <v>0</v>
      </c>
      <c r="W246" s="17">
        <f t="shared" si="98"/>
        <v>0</v>
      </c>
      <c r="Y246">
        <f>(MONTH(E246)=MONTH(Assumptions!$E$6))*(YEAR(Assumptions!$E$6)=YEAR('Rent v Mortgage'!E246))</f>
        <v>0</v>
      </c>
      <c r="Z246">
        <f>--(SUM($Y$28:Y245)&lt;1)*AA246</f>
        <v>0</v>
      </c>
      <c r="AA246">
        <f t="shared" si="99"/>
        <v>1</v>
      </c>
      <c r="AB246" s="20"/>
      <c r="AC246">
        <f t="shared" si="100"/>
        <v>218</v>
      </c>
      <c r="AD246">
        <f t="shared" si="101"/>
        <v>2043</v>
      </c>
      <c r="AE246" s="12">
        <f t="shared" si="102"/>
        <v>52475</v>
      </c>
      <c r="AG246" s="19">
        <f t="shared" si="103"/>
        <v>0</v>
      </c>
      <c r="AH246" s="19">
        <f t="shared" si="104"/>
        <v>0</v>
      </c>
      <c r="AI246" s="19">
        <f t="shared" si="105"/>
        <v>0</v>
      </c>
      <c r="AK246" s="19">
        <f t="shared" si="106"/>
        <v>0</v>
      </c>
      <c r="AL246" s="19">
        <f ca="1">(IF(MOD(AC246,($AE$15*12)),0,$AG246-IFERROR(SUM(OFFSET(AL245,,,-$AE$15*12)),0))-SUM($AL$28:AL245)*(Z247=0))*(Z246=1)</f>
        <v>0</v>
      </c>
      <c r="AM246" s="19">
        <f t="shared" si="107"/>
        <v>0</v>
      </c>
      <c r="AN246" s="19">
        <f t="shared" si="108"/>
        <v>0</v>
      </c>
      <c r="AP246" s="19">
        <f t="shared" ca="1" si="82"/>
        <v>0</v>
      </c>
      <c r="AQ246" s="18">
        <f t="shared" si="83"/>
        <v>0.46268013255363849</v>
      </c>
    </row>
    <row r="247" spans="3:43" x14ac:dyDescent="0.25">
      <c r="C247">
        <f t="shared" si="84"/>
        <v>219</v>
      </c>
      <c r="D247">
        <f t="shared" si="85"/>
        <v>18</v>
      </c>
      <c r="E247" s="12">
        <f t="shared" si="86"/>
        <v>52505</v>
      </c>
      <c r="F247" s="12"/>
      <c r="G247" s="15">
        <f t="shared" si="87"/>
        <v>0</v>
      </c>
      <c r="H247" s="15">
        <f t="shared" si="88"/>
        <v>0</v>
      </c>
      <c r="I247" s="15"/>
      <c r="J247" s="16">
        <f t="shared" si="89"/>
        <v>0</v>
      </c>
      <c r="K247" s="16">
        <f t="shared" si="90"/>
        <v>0</v>
      </c>
      <c r="L247">
        <f t="shared" si="91"/>
        <v>0</v>
      </c>
      <c r="M247">
        <f t="shared" si="92"/>
        <v>0</v>
      </c>
      <c r="N247" s="16">
        <f t="shared" si="93"/>
        <v>0</v>
      </c>
      <c r="O247" s="16"/>
      <c r="P247" s="17">
        <f t="shared" si="94"/>
        <v>0</v>
      </c>
      <c r="Q247">
        <f>Q246/(1+Assumptions!$E$8/12)</f>
        <v>0.46104725685228659</v>
      </c>
      <c r="S247" s="17">
        <f t="shared" si="95"/>
        <v>0</v>
      </c>
      <c r="T247" s="17">
        <f>T246*(1+$K$24)*Z247</f>
        <v>0</v>
      </c>
      <c r="U247" s="17">
        <f t="shared" si="96"/>
        <v>0</v>
      </c>
      <c r="V247" s="17">
        <f t="shared" si="97"/>
        <v>0</v>
      </c>
      <c r="W247" s="17">
        <f t="shared" si="98"/>
        <v>0</v>
      </c>
      <c r="Y247">
        <f>(MONTH(E247)=MONTH(Assumptions!$E$6))*(YEAR(Assumptions!$E$6)=YEAR('Rent v Mortgage'!E247))</f>
        <v>0</v>
      </c>
      <c r="Z247">
        <f>--(SUM($Y$28:Y246)&lt;1)*AA247</f>
        <v>0</v>
      </c>
      <c r="AA247">
        <f t="shared" si="99"/>
        <v>1</v>
      </c>
      <c r="AB247" s="20"/>
      <c r="AC247">
        <f t="shared" si="100"/>
        <v>219</v>
      </c>
      <c r="AD247">
        <f t="shared" si="101"/>
        <v>2043</v>
      </c>
      <c r="AE247" s="12">
        <f t="shared" si="102"/>
        <v>52505</v>
      </c>
      <c r="AG247" s="19">
        <f t="shared" si="103"/>
        <v>0</v>
      </c>
      <c r="AH247" s="19">
        <f t="shared" si="104"/>
        <v>0</v>
      </c>
      <c r="AI247" s="19">
        <f t="shared" si="105"/>
        <v>0</v>
      </c>
      <c r="AK247" s="19">
        <f t="shared" si="106"/>
        <v>0</v>
      </c>
      <c r="AL247" s="19">
        <f ca="1">(IF(MOD(AC247,($AE$15*12)),0,$AG247-IFERROR(SUM(OFFSET(AL246,,,-$AE$15*12)),0))-SUM($AL$28:AL246)*(Z248=0))*(Z247=1)</f>
        <v>0</v>
      </c>
      <c r="AM247" s="19">
        <f t="shared" si="107"/>
        <v>0</v>
      </c>
      <c r="AN247" s="19">
        <f t="shared" si="108"/>
        <v>0</v>
      </c>
      <c r="AP247" s="19">
        <f t="shared" ca="1" si="82"/>
        <v>0</v>
      </c>
      <c r="AQ247" s="18">
        <f t="shared" si="83"/>
        <v>0.46104725685228659</v>
      </c>
    </row>
    <row r="248" spans="3:43" x14ac:dyDescent="0.25">
      <c r="C248">
        <f t="shared" si="84"/>
        <v>220</v>
      </c>
      <c r="D248">
        <f t="shared" si="85"/>
        <v>18</v>
      </c>
      <c r="E248" s="12">
        <f t="shared" si="86"/>
        <v>52536</v>
      </c>
      <c r="F248" s="12"/>
      <c r="G248" s="15">
        <f t="shared" si="87"/>
        <v>0</v>
      </c>
      <c r="H248" s="15">
        <f t="shared" si="88"/>
        <v>0</v>
      </c>
      <c r="I248" s="15"/>
      <c r="J248" s="16">
        <f t="shared" si="89"/>
        <v>0</v>
      </c>
      <c r="K248" s="16">
        <f t="shared" si="90"/>
        <v>0</v>
      </c>
      <c r="L248">
        <f t="shared" si="91"/>
        <v>0</v>
      </c>
      <c r="M248">
        <f t="shared" si="92"/>
        <v>0</v>
      </c>
      <c r="N248" s="16">
        <f t="shared" si="93"/>
        <v>0</v>
      </c>
      <c r="O248" s="16"/>
      <c r="P248" s="17">
        <f t="shared" si="94"/>
        <v>0</v>
      </c>
      <c r="Q248">
        <f>Q247/(1+Assumptions!$E$8/12)</f>
        <v>0.45942014384284313</v>
      </c>
      <c r="S248" s="17">
        <f t="shared" si="95"/>
        <v>0</v>
      </c>
      <c r="T248" s="17">
        <f>T247*(1+$K$24)*Z248</f>
        <v>0</v>
      </c>
      <c r="U248" s="17">
        <f t="shared" si="96"/>
        <v>0</v>
      </c>
      <c r="V248" s="17">
        <f t="shared" si="97"/>
        <v>0</v>
      </c>
      <c r="W248" s="17">
        <f t="shared" si="98"/>
        <v>0</v>
      </c>
      <c r="Y248">
        <f>(MONTH(E248)=MONTH(Assumptions!$E$6))*(YEAR(Assumptions!$E$6)=YEAR('Rent v Mortgage'!E248))</f>
        <v>0</v>
      </c>
      <c r="Z248">
        <f>--(SUM($Y$28:Y247)&lt;1)*AA248</f>
        <v>0</v>
      </c>
      <c r="AA248">
        <f t="shared" si="99"/>
        <v>1</v>
      </c>
      <c r="AB248" s="20"/>
      <c r="AC248">
        <f t="shared" si="100"/>
        <v>220</v>
      </c>
      <c r="AD248">
        <f t="shared" si="101"/>
        <v>2043</v>
      </c>
      <c r="AE248" s="12">
        <f t="shared" si="102"/>
        <v>52536</v>
      </c>
      <c r="AG248" s="19">
        <f t="shared" si="103"/>
        <v>0</v>
      </c>
      <c r="AH248" s="19">
        <f t="shared" si="104"/>
        <v>0</v>
      </c>
      <c r="AI248" s="19">
        <f t="shared" si="105"/>
        <v>0</v>
      </c>
      <c r="AK248" s="19">
        <f t="shared" si="106"/>
        <v>0</v>
      </c>
      <c r="AL248" s="19">
        <f ca="1">(IF(MOD(AC248,($AE$15*12)),0,$AG248-IFERROR(SUM(OFFSET(AL247,,,-$AE$15*12)),0))-SUM($AL$28:AL247)*(Z249=0))*(Z248=1)</f>
        <v>0</v>
      </c>
      <c r="AM248" s="19">
        <f t="shared" si="107"/>
        <v>0</v>
      </c>
      <c r="AN248" s="19">
        <f t="shared" si="108"/>
        <v>0</v>
      </c>
      <c r="AP248" s="19">
        <f t="shared" ca="1" si="82"/>
        <v>0</v>
      </c>
      <c r="AQ248" s="18">
        <f t="shared" si="83"/>
        <v>0.45942014384284313</v>
      </c>
    </row>
    <row r="249" spans="3:43" x14ac:dyDescent="0.25">
      <c r="C249">
        <f t="shared" si="84"/>
        <v>221</v>
      </c>
      <c r="D249">
        <f t="shared" si="85"/>
        <v>18</v>
      </c>
      <c r="E249" s="12">
        <f t="shared" si="86"/>
        <v>52566</v>
      </c>
      <c r="F249" s="12"/>
      <c r="G249" s="15">
        <f t="shared" si="87"/>
        <v>0</v>
      </c>
      <c r="H249" s="15">
        <f t="shared" si="88"/>
        <v>0</v>
      </c>
      <c r="I249" s="15"/>
      <c r="J249" s="16">
        <f t="shared" si="89"/>
        <v>0</v>
      </c>
      <c r="K249" s="16">
        <f t="shared" si="90"/>
        <v>0</v>
      </c>
      <c r="L249">
        <f t="shared" si="91"/>
        <v>0</v>
      </c>
      <c r="M249">
        <f t="shared" si="92"/>
        <v>0</v>
      </c>
      <c r="N249" s="16">
        <f t="shared" si="93"/>
        <v>0</v>
      </c>
      <c r="O249" s="16"/>
      <c r="P249" s="17">
        <f t="shared" si="94"/>
        <v>0</v>
      </c>
      <c r="Q249">
        <f>Q248/(1+Assumptions!$E$8/12)</f>
        <v>0.45779877318780293</v>
      </c>
      <c r="S249" s="17">
        <f t="shared" si="95"/>
        <v>0</v>
      </c>
      <c r="T249" s="17">
        <f>T248*(1+$K$24)*Z249</f>
        <v>0</v>
      </c>
      <c r="U249" s="17">
        <f t="shared" si="96"/>
        <v>0</v>
      </c>
      <c r="V249" s="17">
        <f t="shared" si="97"/>
        <v>0</v>
      </c>
      <c r="W249" s="17">
        <f t="shared" si="98"/>
        <v>0</v>
      </c>
      <c r="Y249">
        <f>(MONTH(E249)=MONTH(Assumptions!$E$6))*(YEAR(Assumptions!$E$6)=YEAR('Rent v Mortgage'!E249))</f>
        <v>0</v>
      </c>
      <c r="Z249">
        <f>--(SUM($Y$28:Y248)&lt;1)*AA249</f>
        <v>0</v>
      </c>
      <c r="AA249">
        <f t="shared" si="99"/>
        <v>1</v>
      </c>
      <c r="AB249" s="20"/>
      <c r="AC249">
        <f t="shared" si="100"/>
        <v>221</v>
      </c>
      <c r="AD249">
        <f t="shared" si="101"/>
        <v>2043</v>
      </c>
      <c r="AE249" s="12">
        <f t="shared" si="102"/>
        <v>52566</v>
      </c>
      <c r="AG249" s="19">
        <f t="shared" si="103"/>
        <v>0</v>
      </c>
      <c r="AH249" s="19">
        <f t="shared" si="104"/>
        <v>0</v>
      </c>
      <c r="AI249" s="19">
        <f t="shared" si="105"/>
        <v>0</v>
      </c>
      <c r="AK249" s="19">
        <f t="shared" si="106"/>
        <v>0</v>
      </c>
      <c r="AL249" s="19">
        <f ca="1">(IF(MOD(AC249,($AE$15*12)),0,$AG249-IFERROR(SUM(OFFSET(AL248,,,-$AE$15*12)),0))-SUM($AL$28:AL248)*(Z250=0))*(Z249=1)</f>
        <v>0</v>
      </c>
      <c r="AM249" s="19">
        <f t="shared" si="107"/>
        <v>0</v>
      </c>
      <c r="AN249" s="19">
        <f t="shared" si="108"/>
        <v>0</v>
      </c>
      <c r="AP249" s="19">
        <f t="shared" ca="1" si="82"/>
        <v>0</v>
      </c>
      <c r="AQ249" s="18">
        <f t="shared" si="83"/>
        <v>0.45779877318780293</v>
      </c>
    </row>
    <row r="250" spans="3:43" x14ac:dyDescent="0.25">
      <c r="C250">
        <f t="shared" si="84"/>
        <v>222</v>
      </c>
      <c r="D250">
        <f t="shared" si="85"/>
        <v>18</v>
      </c>
      <c r="E250" s="12">
        <f t="shared" si="86"/>
        <v>52597</v>
      </c>
      <c r="F250" s="12"/>
      <c r="G250" s="15">
        <f t="shared" si="87"/>
        <v>0</v>
      </c>
      <c r="H250" s="15">
        <f t="shared" si="88"/>
        <v>0</v>
      </c>
      <c r="I250" s="15"/>
      <c r="J250" s="16">
        <f t="shared" si="89"/>
        <v>0</v>
      </c>
      <c r="K250" s="16">
        <f t="shared" si="90"/>
        <v>0</v>
      </c>
      <c r="L250">
        <f t="shared" si="91"/>
        <v>0</v>
      </c>
      <c r="M250">
        <f t="shared" si="92"/>
        <v>0</v>
      </c>
      <c r="N250" s="16">
        <f t="shared" si="93"/>
        <v>0</v>
      </c>
      <c r="O250" s="16"/>
      <c r="P250" s="17">
        <f t="shared" si="94"/>
        <v>0</v>
      </c>
      <c r="Q250">
        <f>Q249/(1+Assumptions!$E$8/12)</f>
        <v>0.45618312462143529</v>
      </c>
      <c r="S250" s="17">
        <f t="shared" si="95"/>
        <v>0</v>
      </c>
      <c r="T250" s="17">
        <f>T249*(1+$K$24)*Z250</f>
        <v>0</v>
      </c>
      <c r="U250" s="17">
        <f t="shared" si="96"/>
        <v>0</v>
      </c>
      <c r="V250" s="17">
        <f t="shared" si="97"/>
        <v>0</v>
      </c>
      <c r="W250" s="17">
        <f t="shared" si="98"/>
        <v>0</v>
      </c>
      <c r="Y250">
        <f>(MONTH(E250)=MONTH(Assumptions!$E$6))*(YEAR(Assumptions!$E$6)=YEAR('Rent v Mortgage'!E250))</f>
        <v>0</v>
      </c>
      <c r="Z250">
        <f>--(SUM($Y$28:Y249)&lt;1)*AA250</f>
        <v>0</v>
      </c>
      <c r="AA250">
        <f t="shared" si="99"/>
        <v>1</v>
      </c>
      <c r="AB250" s="20"/>
      <c r="AC250">
        <f t="shared" si="100"/>
        <v>222</v>
      </c>
      <c r="AD250">
        <f t="shared" si="101"/>
        <v>2044</v>
      </c>
      <c r="AE250" s="12">
        <f t="shared" si="102"/>
        <v>52597</v>
      </c>
      <c r="AG250" s="19">
        <f t="shared" si="103"/>
        <v>0</v>
      </c>
      <c r="AH250" s="19">
        <f t="shared" si="104"/>
        <v>0</v>
      </c>
      <c r="AI250" s="19">
        <f t="shared" si="105"/>
        <v>0</v>
      </c>
      <c r="AK250" s="19">
        <f t="shared" si="106"/>
        <v>0</v>
      </c>
      <c r="AL250" s="19">
        <f ca="1">(IF(MOD(AC250,($AE$15*12)),0,$AG250-IFERROR(SUM(OFFSET(AL249,,,-$AE$15*12)),0))-SUM($AL$28:AL249)*(Z251=0))*(Z250=1)</f>
        <v>0</v>
      </c>
      <c r="AM250" s="19">
        <f t="shared" si="107"/>
        <v>0</v>
      </c>
      <c r="AN250" s="19">
        <f t="shared" si="108"/>
        <v>0</v>
      </c>
      <c r="AP250" s="19">
        <f t="shared" ca="1" si="82"/>
        <v>0</v>
      </c>
      <c r="AQ250" s="18">
        <f t="shared" si="83"/>
        <v>0.45618312462143529</v>
      </c>
    </row>
    <row r="251" spans="3:43" x14ac:dyDescent="0.25">
      <c r="C251">
        <f t="shared" si="84"/>
        <v>223</v>
      </c>
      <c r="D251">
        <f t="shared" si="85"/>
        <v>18</v>
      </c>
      <c r="E251" s="12">
        <f t="shared" si="86"/>
        <v>52628</v>
      </c>
      <c r="F251" s="12"/>
      <c r="G251" s="15">
        <f t="shared" si="87"/>
        <v>0</v>
      </c>
      <c r="H251" s="15">
        <f t="shared" si="88"/>
        <v>0</v>
      </c>
      <c r="I251" s="15"/>
      <c r="J251" s="16">
        <f t="shared" si="89"/>
        <v>0</v>
      </c>
      <c r="K251" s="16">
        <f t="shared" si="90"/>
        <v>0</v>
      </c>
      <c r="L251">
        <f t="shared" si="91"/>
        <v>0</v>
      </c>
      <c r="M251">
        <f t="shared" si="92"/>
        <v>0</v>
      </c>
      <c r="N251" s="16">
        <f t="shared" si="93"/>
        <v>0</v>
      </c>
      <c r="O251" s="16"/>
      <c r="P251" s="17">
        <f t="shared" si="94"/>
        <v>0</v>
      </c>
      <c r="Q251">
        <f>Q250/(1+Assumptions!$E$8/12)</f>
        <v>0.45457317794953067</v>
      </c>
      <c r="S251" s="17">
        <f t="shared" si="95"/>
        <v>0</v>
      </c>
      <c r="T251" s="17">
        <f>T250*(1+$K$24)*Z251</f>
        <v>0</v>
      </c>
      <c r="U251" s="17">
        <f t="shared" si="96"/>
        <v>0</v>
      </c>
      <c r="V251" s="17">
        <f t="shared" si="97"/>
        <v>0</v>
      </c>
      <c r="W251" s="17">
        <f t="shared" si="98"/>
        <v>0</v>
      </c>
      <c r="Y251">
        <f>(MONTH(E251)=MONTH(Assumptions!$E$6))*(YEAR(Assumptions!$E$6)=YEAR('Rent v Mortgage'!E251))</f>
        <v>0</v>
      </c>
      <c r="Z251">
        <f>--(SUM($Y$28:Y250)&lt;1)*AA251</f>
        <v>0</v>
      </c>
      <c r="AA251">
        <f t="shared" si="99"/>
        <v>1</v>
      </c>
      <c r="AB251" s="20"/>
      <c r="AC251">
        <f t="shared" si="100"/>
        <v>223</v>
      </c>
      <c r="AD251">
        <f t="shared" si="101"/>
        <v>2044</v>
      </c>
      <c r="AE251" s="12">
        <f t="shared" si="102"/>
        <v>52628</v>
      </c>
      <c r="AG251" s="19">
        <f t="shared" si="103"/>
        <v>0</v>
      </c>
      <c r="AH251" s="19">
        <f t="shared" si="104"/>
        <v>0</v>
      </c>
      <c r="AI251" s="19">
        <f t="shared" si="105"/>
        <v>0</v>
      </c>
      <c r="AK251" s="19">
        <f t="shared" si="106"/>
        <v>0</v>
      </c>
      <c r="AL251" s="19">
        <f ca="1">(IF(MOD(AC251,($AE$15*12)),0,$AG251-IFERROR(SUM(OFFSET(AL250,,,-$AE$15*12)),0))-SUM($AL$28:AL250)*(Z252=0))*(Z251=1)</f>
        <v>0</v>
      </c>
      <c r="AM251" s="19">
        <f t="shared" si="107"/>
        <v>0</v>
      </c>
      <c r="AN251" s="19">
        <f t="shared" si="108"/>
        <v>0</v>
      </c>
      <c r="AP251" s="19">
        <f t="shared" ca="1" si="82"/>
        <v>0</v>
      </c>
      <c r="AQ251" s="18">
        <f t="shared" si="83"/>
        <v>0.45457317794953067</v>
      </c>
    </row>
    <row r="252" spans="3:43" x14ac:dyDescent="0.25">
      <c r="C252">
        <f t="shared" si="84"/>
        <v>224</v>
      </c>
      <c r="D252">
        <f t="shared" si="85"/>
        <v>18</v>
      </c>
      <c r="E252" s="12">
        <f t="shared" si="86"/>
        <v>52657</v>
      </c>
      <c r="F252" s="12"/>
      <c r="G252" s="15">
        <f t="shared" si="87"/>
        <v>0</v>
      </c>
      <c r="H252" s="15">
        <f t="shared" si="88"/>
        <v>0</v>
      </c>
      <c r="I252" s="15"/>
      <c r="J252" s="16">
        <f t="shared" si="89"/>
        <v>0</v>
      </c>
      <c r="K252" s="16">
        <f t="shared" si="90"/>
        <v>0</v>
      </c>
      <c r="L252">
        <f t="shared" si="91"/>
        <v>0</v>
      </c>
      <c r="M252">
        <f t="shared" si="92"/>
        <v>0</v>
      </c>
      <c r="N252" s="16">
        <f t="shared" si="93"/>
        <v>0</v>
      </c>
      <c r="O252" s="16"/>
      <c r="P252" s="17">
        <f t="shared" si="94"/>
        <v>0</v>
      </c>
      <c r="Q252">
        <f>Q251/(1+Assumptions!$E$8/12)</f>
        <v>0.45296891304914821</v>
      </c>
      <c r="S252" s="17">
        <f t="shared" si="95"/>
        <v>0</v>
      </c>
      <c r="T252" s="17">
        <f>T251*(1+$K$24)*Z252</f>
        <v>0</v>
      </c>
      <c r="U252" s="17">
        <f t="shared" si="96"/>
        <v>0</v>
      </c>
      <c r="V252" s="17">
        <f t="shared" si="97"/>
        <v>0</v>
      </c>
      <c r="W252" s="17">
        <f t="shared" si="98"/>
        <v>0</v>
      </c>
      <c r="Y252">
        <f>(MONTH(E252)=MONTH(Assumptions!$E$6))*(YEAR(Assumptions!$E$6)=YEAR('Rent v Mortgage'!E252))</f>
        <v>0</v>
      </c>
      <c r="Z252">
        <f>--(SUM($Y$28:Y251)&lt;1)*AA252</f>
        <v>0</v>
      </c>
      <c r="AA252">
        <f t="shared" si="99"/>
        <v>1</v>
      </c>
      <c r="AB252" s="20"/>
      <c r="AC252">
        <f t="shared" si="100"/>
        <v>224</v>
      </c>
      <c r="AD252">
        <f t="shared" si="101"/>
        <v>2044</v>
      </c>
      <c r="AE252" s="12">
        <f t="shared" si="102"/>
        <v>52657</v>
      </c>
      <c r="AG252" s="19">
        <f t="shared" si="103"/>
        <v>0</v>
      </c>
      <c r="AH252" s="19">
        <f t="shared" si="104"/>
        <v>0</v>
      </c>
      <c r="AI252" s="19">
        <f t="shared" si="105"/>
        <v>0</v>
      </c>
      <c r="AK252" s="19">
        <f t="shared" si="106"/>
        <v>0</v>
      </c>
      <c r="AL252" s="19">
        <f ca="1">(IF(MOD(AC252,($AE$15*12)),0,$AG252-IFERROR(SUM(OFFSET(AL251,,,-$AE$15*12)),0))-SUM($AL$28:AL251)*(Z253=0))*(Z252=1)</f>
        <v>0</v>
      </c>
      <c r="AM252" s="19">
        <f t="shared" si="107"/>
        <v>0</v>
      </c>
      <c r="AN252" s="19">
        <f t="shared" si="108"/>
        <v>0</v>
      </c>
      <c r="AP252" s="19">
        <f t="shared" ca="1" si="82"/>
        <v>0</v>
      </c>
      <c r="AQ252" s="18">
        <f t="shared" si="83"/>
        <v>0.45296891304914821</v>
      </c>
    </row>
    <row r="253" spans="3:43" x14ac:dyDescent="0.25">
      <c r="C253">
        <f t="shared" si="84"/>
        <v>225</v>
      </c>
      <c r="D253">
        <f t="shared" si="85"/>
        <v>18</v>
      </c>
      <c r="E253" s="12">
        <f t="shared" si="86"/>
        <v>52688</v>
      </c>
      <c r="F253" s="12"/>
      <c r="G253" s="15">
        <f t="shared" si="87"/>
        <v>0</v>
      </c>
      <c r="H253" s="15">
        <f t="shared" si="88"/>
        <v>0</v>
      </c>
      <c r="I253" s="15"/>
      <c r="J253" s="16">
        <f t="shared" si="89"/>
        <v>0</v>
      </c>
      <c r="K253" s="16">
        <f t="shared" si="90"/>
        <v>0</v>
      </c>
      <c r="L253">
        <f t="shared" si="91"/>
        <v>0</v>
      </c>
      <c r="M253">
        <f t="shared" si="92"/>
        <v>0</v>
      </c>
      <c r="N253" s="16">
        <f t="shared" si="93"/>
        <v>0</v>
      </c>
      <c r="O253" s="16"/>
      <c r="P253" s="17">
        <f t="shared" si="94"/>
        <v>0</v>
      </c>
      <c r="Q253">
        <f>Q252/(1+Assumptions!$E$8/12)</f>
        <v>0.45137030986836435</v>
      </c>
      <c r="S253" s="17">
        <f t="shared" si="95"/>
        <v>0</v>
      </c>
      <c r="T253" s="17">
        <f>T252*(1+$K$24)*Z253</f>
        <v>0</v>
      </c>
      <c r="U253" s="17">
        <f t="shared" si="96"/>
        <v>0</v>
      </c>
      <c r="V253" s="17">
        <f t="shared" si="97"/>
        <v>0</v>
      </c>
      <c r="W253" s="17">
        <f t="shared" si="98"/>
        <v>0</v>
      </c>
      <c r="Y253">
        <f>(MONTH(E253)=MONTH(Assumptions!$E$6))*(YEAR(Assumptions!$E$6)=YEAR('Rent v Mortgage'!E253))</f>
        <v>0</v>
      </c>
      <c r="Z253">
        <f>--(SUM($Y$28:Y252)&lt;1)*AA253</f>
        <v>0</v>
      </c>
      <c r="AA253">
        <f t="shared" si="99"/>
        <v>1</v>
      </c>
      <c r="AB253" s="20"/>
      <c r="AC253">
        <f t="shared" si="100"/>
        <v>225</v>
      </c>
      <c r="AD253">
        <f t="shared" si="101"/>
        <v>2044</v>
      </c>
      <c r="AE253" s="12">
        <f t="shared" si="102"/>
        <v>52688</v>
      </c>
      <c r="AG253" s="19">
        <f t="shared" si="103"/>
        <v>0</v>
      </c>
      <c r="AH253" s="19">
        <f t="shared" si="104"/>
        <v>0</v>
      </c>
      <c r="AI253" s="19">
        <f t="shared" si="105"/>
        <v>0</v>
      </c>
      <c r="AK253" s="19">
        <f t="shared" si="106"/>
        <v>0</v>
      </c>
      <c r="AL253" s="19">
        <f ca="1">(IF(MOD(AC253,($AE$15*12)),0,$AG253-IFERROR(SUM(OFFSET(AL252,,,-$AE$15*12)),0))-SUM($AL$28:AL252)*(Z254=0))*(Z253=1)</f>
        <v>0</v>
      </c>
      <c r="AM253" s="19">
        <f t="shared" si="107"/>
        <v>0</v>
      </c>
      <c r="AN253" s="19">
        <f t="shared" si="108"/>
        <v>0</v>
      </c>
      <c r="AP253" s="19">
        <f t="shared" ca="1" si="82"/>
        <v>0</v>
      </c>
      <c r="AQ253" s="18">
        <f t="shared" si="83"/>
        <v>0.45137030986836435</v>
      </c>
    </row>
    <row r="254" spans="3:43" x14ac:dyDescent="0.25">
      <c r="C254">
        <f t="shared" si="84"/>
        <v>226</v>
      </c>
      <c r="D254">
        <f t="shared" si="85"/>
        <v>18</v>
      </c>
      <c r="E254" s="12">
        <f t="shared" si="86"/>
        <v>52718</v>
      </c>
      <c r="F254" s="12"/>
      <c r="G254" s="15">
        <f t="shared" si="87"/>
        <v>0</v>
      </c>
      <c r="H254" s="15">
        <f t="shared" si="88"/>
        <v>0</v>
      </c>
      <c r="I254" s="15"/>
      <c r="J254" s="16">
        <f t="shared" si="89"/>
        <v>0</v>
      </c>
      <c r="K254" s="16">
        <f t="shared" si="90"/>
        <v>0</v>
      </c>
      <c r="L254">
        <f t="shared" si="91"/>
        <v>0</v>
      </c>
      <c r="M254">
        <f t="shared" si="92"/>
        <v>0</v>
      </c>
      <c r="N254" s="16">
        <f t="shared" si="93"/>
        <v>0</v>
      </c>
      <c r="O254" s="16"/>
      <c r="P254" s="17">
        <f t="shared" si="94"/>
        <v>0</v>
      </c>
      <c r="Q254">
        <f>Q253/(1+Assumptions!$E$8/12)</f>
        <v>0.44977734842602213</v>
      </c>
      <c r="S254" s="17">
        <f t="shared" si="95"/>
        <v>0</v>
      </c>
      <c r="T254" s="17">
        <f>T253*(1+$K$24)*Z254</f>
        <v>0</v>
      </c>
      <c r="U254" s="17">
        <f t="shared" si="96"/>
        <v>0</v>
      </c>
      <c r="V254" s="17">
        <f t="shared" si="97"/>
        <v>0</v>
      </c>
      <c r="W254" s="17">
        <f t="shared" si="98"/>
        <v>0</v>
      </c>
      <c r="Y254">
        <f>(MONTH(E254)=MONTH(Assumptions!$E$6))*(YEAR(Assumptions!$E$6)=YEAR('Rent v Mortgage'!E254))</f>
        <v>0</v>
      </c>
      <c r="Z254">
        <f>--(SUM($Y$28:Y253)&lt;1)*AA254</f>
        <v>0</v>
      </c>
      <c r="AA254">
        <f t="shared" si="99"/>
        <v>1</v>
      </c>
      <c r="AB254" s="20"/>
      <c r="AC254">
        <f t="shared" si="100"/>
        <v>226</v>
      </c>
      <c r="AD254">
        <f t="shared" si="101"/>
        <v>2044</v>
      </c>
      <c r="AE254" s="12">
        <f t="shared" si="102"/>
        <v>52718</v>
      </c>
      <c r="AG254" s="19">
        <f t="shared" si="103"/>
        <v>0</v>
      </c>
      <c r="AH254" s="19">
        <f t="shared" si="104"/>
        <v>0</v>
      </c>
      <c r="AI254" s="19">
        <f t="shared" si="105"/>
        <v>0</v>
      </c>
      <c r="AK254" s="19">
        <f t="shared" si="106"/>
        <v>0</v>
      </c>
      <c r="AL254" s="19">
        <f ca="1">(IF(MOD(AC254,($AE$15*12)),0,$AG254-IFERROR(SUM(OFFSET(AL253,,,-$AE$15*12)),0))-SUM($AL$28:AL253)*(Z255=0))*(Z254=1)</f>
        <v>0</v>
      </c>
      <c r="AM254" s="19">
        <f t="shared" si="107"/>
        <v>0</v>
      </c>
      <c r="AN254" s="19">
        <f t="shared" si="108"/>
        <v>0</v>
      </c>
      <c r="AP254" s="19">
        <f t="shared" ca="1" si="82"/>
        <v>0</v>
      </c>
      <c r="AQ254" s="18">
        <f t="shared" si="83"/>
        <v>0.44977734842602213</v>
      </c>
    </row>
    <row r="255" spans="3:43" x14ac:dyDescent="0.25">
      <c r="C255">
        <f t="shared" si="84"/>
        <v>227</v>
      </c>
      <c r="D255">
        <f t="shared" si="85"/>
        <v>18</v>
      </c>
      <c r="E255" s="12">
        <f t="shared" si="86"/>
        <v>52749</v>
      </c>
      <c r="F255" s="12"/>
      <c r="G255" s="15">
        <f t="shared" si="87"/>
        <v>0</v>
      </c>
      <c r="H255" s="15">
        <f t="shared" si="88"/>
        <v>0</v>
      </c>
      <c r="I255" s="15"/>
      <c r="J255" s="16">
        <f t="shared" si="89"/>
        <v>0</v>
      </c>
      <c r="K255" s="16">
        <f t="shared" si="90"/>
        <v>0</v>
      </c>
      <c r="L255">
        <f t="shared" si="91"/>
        <v>0</v>
      </c>
      <c r="M255">
        <f t="shared" si="92"/>
        <v>0</v>
      </c>
      <c r="N255" s="16">
        <f t="shared" si="93"/>
        <v>0</v>
      </c>
      <c r="O255" s="16"/>
      <c r="P255" s="17">
        <f t="shared" si="94"/>
        <v>0</v>
      </c>
      <c r="Q255">
        <f>Q254/(1+Assumptions!$E$8/12)</f>
        <v>0.44819000881148141</v>
      </c>
      <c r="S255" s="17">
        <f t="shared" si="95"/>
        <v>0</v>
      </c>
      <c r="T255" s="17">
        <f>T254*(1+$K$24)*Z255</f>
        <v>0</v>
      </c>
      <c r="U255" s="17">
        <f t="shared" si="96"/>
        <v>0</v>
      </c>
      <c r="V255" s="17">
        <f t="shared" si="97"/>
        <v>0</v>
      </c>
      <c r="W255" s="17">
        <f t="shared" si="98"/>
        <v>0</v>
      </c>
      <c r="Y255">
        <f>(MONTH(E255)=MONTH(Assumptions!$E$6))*(YEAR(Assumptions!$E$6)=YEAR('Rent v Mortgage'!E255))</f>
        <v>0</v>
      </c>
      <c r="Z255">
        <f>--(SUM($Y$28:Y254)&lt;1)*AA255</f>
        <v>0</v>
      </c>
      <c r="AA255">
        <f t="shared" si="99"/>
        <v>1</v>
      </c>
      <c r="AB255" s="20"/>
      <c r="AC255">
        <f t="shared" si="100"/>
        <v>227</v>
      </c>
      <c r="AD255">
        <f t="shared" si="101"/>
        <v>2044</v>
      </c>
      <c r="AE255" s="12">
        <f t="shared" si="102"/>
        <v>52749</v>
      </c>
      <c r="AG255" s="19">
        <f t="shared" si="103"/>
        <v>0</v>
      </c>
      <c r="AH255" s="19">
        <f t="shared" si="104"/>
        <v>0</v>
      </c>
      <c r="AI255" s="19">
        <f t="shared" si="105"/>
        <v>0</v>
      </c>
      <c r="AK255" s="19">
        <f t="shared" si="106"/>
        <v>0</v>
      </c>
      <c r="AL255" s="19">
        <f ca="1">(IF(MOD(AC255,($AE$15*12)),0,$AG255-IFERROR(SUM(OFFSET(AL254,,,-$AE$15*12)),0))-SUM($AL$28:AL254)*(Z256=0))*(Z255=1)</f>
        <v>0</v>
      </c>
      <c r="AM255" s="19">
        <f t="shared" si="107"/>
        <v>0</v>
      </c>
      <c r="AN255" s="19">
        <f t="shared" si="108"/>
        <v>0</v>
      </c>
      <c r="AP255" s="19">
        <f t="shared" ca="1" si="82"/>
        <v>0</v>
      </c>
      <c r="AQ255" s="18">
        <f t="shared" si="83"/>
        <v>0.44819000881148141</v>
      </c>
    </row>
    <row r="256" spans="3:43" x14ac:dyDescent="0.25">
      <c r="C256">
        <f t="shared" si="84"/>
        <v>228</v>
      </c>
      <c r="D256">
        <f t="shared" si="85"/>
        <v>19</v>
      </c>
      <c r="E256" s="12">
        <f t="shared" si="86"/>
        <v>52779</v>
      </c>
      <c r="F256" s="12"/>
      <c r="G256" s="15">
        <f t="shared" si="87"/>
        <v>0</v>
      </c>
      <c r="H256" s="15">
        <f t="shared" si="88"/>
        <v>0</v>
      </c>
      <c r="I256" s="15"/>
      <c r="J256" s="16">
        <f t="shared" si="89"/>
        <v>0</v>
      </c>
      <c r="K256" s="16">
        <f t="shared" si="90"/>
        <v>0</v>
      </c>
      <c r="L256">
        <f t="shared" si="91"/>
        <v>0</v>
      </c>
      <c r="M256">
        <f t="shared" si="92"/>
        <v>0</v>
      </c>
      <c r="N256" s="16">
        <f t="shared" si="93"/>
        <v>0</v>
      </c>
      <c r="O256" s="16"/>
      <c r="P256" s="17">
        <f t="shared" si="94"/>
        <v>0</v>
      </c>
      <c r="Q256">
        <f>Q255/(1+Assumptions!$E$8/12)</f>
        <v>0.44660827118437008</v>
      </c>
      <c r="S256" s="17">
        <f t="shared" si="95"/>
        <v>0</v>
      </c>
      <c r="T256" s="17">
        <f>T255*(1+$K$24)*Z256</f>
        <v>0</v>
      </c>
      <c r="U256" s="17">
        <f t="shared" si="96"/>
        <v>0</v>
      </c>
      <c r="V256" s="17">
        <f t="shared" si="97"/>
        <v>0</v>
      </c>
      <c r="W256" s="17">
        <f t="shared" si="98"/>
        <v>0</v>
      </c>
      <c r="Y256">
        <f>(MONTH(E256)=MONTH(Assumptions!$E$6))*(YEAR(Assumptions!$E$6)=YEAR('Rent v Mortgage'!E256))</f>
        <v>0</v>
      </c>
      <c r="Z256">
        <f>--(SUM($Y$28:Y255)&lt;1)*AA256</f>
        <v>0</v>
      </c>
      <c r="AA256">
        <f t="shared" si="99"/>
        <v>1</v>
      </c>
      <c r="AB256" s="20"/>
      <c r="AC256">
        <f t="shared" si="100"/>
        <v>228</v>
      </c>
      <c r="AD256">
        <f t="shared" si="101"/>
        <v>2044</v>
      </c>
      <c r="AE256" s="12">
        <f t="shared" si="102"/>
        <v>52779</v>
      </c>
      <c r="AG256" s="19">
        <f t="shared" si="103"/>
        <v>0</v>
      </c>
      <c r="AH256" s="19">
        <f t="shared" si="104"/>
        <v>0</v>
      </c>
      <c r="AI256" s="19">
        <f t="shared" si="105"/>
        <v>0</v>
      </c>
      <c r="AK256" s="19">
        <f t="shared" si="106"/>
        <v>0</v>
      </c>
      <c r="AL256" s="19">
        <f ca="1">(IF(MOD(AC256,($AE$15*12)),0,$AG256-IFERROR(SUM(OFFSET(AL255,,,-$AE$15*12)),0))-SUM($AL$28:AL255)*(Z257=0))*(Z256=1)</f>
        <v>0</v>
      </c>
      <c r="AM256" s="19">
        <f t="shared" si="107"/>
        <v>0</v>
      </c>
      <c r="AN256" s="19">
        <f t="shared" si="108"/>
        <v>0</v>
      </c>
      <c r="AP256" s="19">
        <f t="shared" ca="1" si="82"/>
        <v>0</v>
      </c>
      <c r="AQ256" s="18">
        <f t="shared" si="83"/>
        <v>0.44660827118437008</v>
      </c>
    </row>
    <row r="257" spans="3:43" x14ac:dyDescent="0.25">
      <c r="C257">
        <f t="shared" si="84"/>
        <v>229</v>
      </c>
      <c r="D257">
        <f t="shared" si="85"/>
        <v>19</v>
      </c>
      <c r="E257" s="12">
        <f t="shared" si="86"/>
        <v>52810</v>
      </c>
      <c r="F257" s="12"/>
      <c r="G257" s="15">
        <f t="shared" si="87"/>
        <v>0</v>
      </c>
      <c r="H257" s="15">
        <f t="shared" si="88"/>
        <v>0</v>
      </c>
      <c r="I257" s="15"/>
      <c r="J257" s="16">
        <f t="shared" si="89"/>
        <v>0</v>
      </c>
      <c r="K257" s="16">
        <f t="shared" si="90"/>
        <v>0</v>
      </c>
      <c r="L257">
        <f t="shared" si="91"/>
        <v>0</v>
      </c>
      <c r="M257">
        <f t="shared" si="92"/>
        <v>0</v>
      </c>
      <c r="N257" s="16">
        <f t="shared" si="93"/>
        <v>0</v>
      </c>
      <c r="O257" s="16"/>
      <c r="P257" s="17">
        <f t="shared" si="94"/>
        <v>0</v>
      </c>
      <c r="Q257">
        <f>Q256/(1+Assumptions!$E$8/12)</f>
        <v>0.44503211577433593</v>
      </c>
      <c r="S257" s="17">
        <f t="shared" si="95"/>
        <v>0</v>
      </c>
      <c r="T257" s="17">
        <f>T256*(1+$K$24)*Z257</f>
        <v>0</v>
      </c>
      <c r="U257" s="17">
        <f t="shared" si="96"/>
        <v>0</v>
      </c>
      <c r="V257" s="17">
        <f t="shared" si="97"/>
        <v>0</v>
      </c>
      <c r="W257" s="17">
        <f t="shared" si="98"/>
        <v>0</v>
      </c>
      <c r="Y257">
        <f>(MONTH(E257)=MONTH(Assumptions!$E$6))*(YEAR(Assumptions!$E$6)=YEAR('Rent v Mortgage'!E257))</f>
        <v>0</v>
      </c>
      <c r="Z257">
        <f>--(SUM($Y$28:Y256)&lt;1)*AA257</f>
        <v>0</v>
      </c>
      <c r="AA257">
        <f t="shared" si="99"/>
        <v>1</v>
      </c>
      <c r="AB257" s="20"/>
      <c r="AC257">
        <f t="shared" si="100"/>
        <v>229</v>
      </c>
      <c r="AD257">
        <f t="shared" si="101"/>
        <v>2044</v>
      </c>
      <c r="AE257" s="12">
        <f t="shared" si="102"/>
        <v>52810</v>
      </c>
      <c r="AG257" s="19">
        <f t="shared" si="103"/>
        <v>0</v>
      </c>
      <c r="AH257" s="19">
        <f t="shared" si="104"/>
        <v>0</v>
      </c>
      <c r="AI257" s="19">
        <f t="shared" si="105"/>
        <v>0</v>
      </c>
      <c r="AK257" s="19">
        <f t="shared" si="106"/>
        <v>0</v>
      </c>
      <c r="AL257" s="19">
        <f ca="1">(IF(MOD(AC257,($AE$15*12)),0,$AG257-IFERROR(SUM(OFFSET(AL256,,,-$AE$15*12)),0))-SUM($AL$28:AL256)*(Z258=0))*(Z257=1)</f>
        <v>0</v>
      </c>
      <c r="AM257" s="19">
        <f t="shared" si="107"/>
        <v>0</v>
      </c>
      <c r="AN257" s="19">
        <f t="shared" si="108"/>
        <v>0</v>
      </c>
      <c r="AP257" s="19">
        <f t="shared" ca="1" si="82"/>
        <v>0</v>
      </c>
      <c r="AQ257" s="18">
        <f t="shared" si="83"/>
        <v>0.44503211577433593</v>
      </c>
    </row>
    <row r="258" spans="3:43" x14ac:dyDescent="0.25">
      <c r="C258">
        <f t="shared" si="84"/>
        <v>230</v>
      </c>
      <c r="D258">
        <f t="shared" si="85"/>
        <v>19</v>
      </c>
      <c r="E258" s="12">
        <f t="shared" si="86"/>
        <v>52841</v>
      </c>
      <c r="F258" s="12"/>
      <c r="G258" s="15">
        <f t="shared" si="87"/>
        <v>0</v>
      </c>
      <c r="H258" s="15">
        <f t="shared" si="88"/>
        <v>0</v>
      </c>
      <c r="I258" s="15"/>
      <c r="J258" s="16">
        <f t="shared" si="89"/>
        <v>0</v>
      </c>
      <c r="K258" s="16">
        <f t="shared" si="90"/>
        <v>0</v>
      </c>
      <c r="L258">
        <f t="shared" si="91"/>
        <v>0</v>
      </c>
      <c r="M258">
        <f t="shared" si="92"/>
        <v>0</v>
      </c>
      <c r="N258" s="16">
        <f t="shared" si="93"/>
        <v>0</v>
      </c>
      <c r="O258" s="16"/>
      <c r="P258" s="17">
        <f t="shared" si="94"/>
        <v>0</v>
      </c>
      <c r="Q258">
        <f>Q257/(1+Assumptions!$E$8/12)</f>
        <v>0.44346152288079971</v>
      </c>
      <c r="S258" s="17">
        <f t="shared" si="95"/>
        <v>0</v>
      </c>
      <c r="T258" s="17">
        <f>T257*(1+$K$24)*Z258</f>
        <v>0</v>
      </c>
      <c r="U258" s="17">
        <f t="shared" si="96"/>
        <v>0</v>
      </c>
      <c r="V258" s="17">
        <f t="shared" si="97"/>
        <v>0</v>
      </c>
      <c r="W258" s="17">
        <f t="shared" si="98"/>
        <v>0</v>
      </c>
      <c r="Y258">
        <f>(MONTH(E258)=MONTH(Assumptions!$E$6))*(YEAR(Assumptions!$E$6)=YEAR('Rent v Mortgage'!E258))</f>
        <v>0</v>
      </c>
      <c r="Z258">
        <f>--(SUM($Y$28:Y257)&lt;1)*AA258</f>
        <v>0</v>
      </c>
      <c r="AA258">
        <f t="shared" si="99"/>
        <v>1</v>
      </c>
      <c r="AB258" s="20"/>
      <c r="AC258">
        <f t="shared" si="100"/>
        <v>230</v>
      </c>
      <c r="AD258">
        <f t="shared" si="101"/>
        <v>2044</v>
      </c>
      <c r="AE258" s="12">
        <f t="shared" si="102"/>
        <v>52841</v>
      </c>
      <c r="AG258" s="19">
        <f t="shared" si="103"/>
        <v>0</v>
      </c>
      <c r="AH258" s="19">
        <f t="shared" si="104"/>
        <v>0</v>
      </c>
      <c r="AI258" s="19">
        <f t="shared" si="105"/>
        <v>0</v>
      </c>
      <c r="AK258" s="19">
        <f t="shared" si="106"/>
        <v>0</v>
      </c>
      <c r="AL258" s="19">
        <f ca="1">(IF(MOD(AC258,($AE$15*12)),0,$AG258-IFERROR(SUM(OFFSET(AL257,,,-$AE$15*12)),0))-SUM($AL$28:AL257)*(Z259=0))*(Z258=1)</f>
        <v>0</v>
      </c>
      <c r="AM258" s="19">
        <f t="shared" si="107"/>
        <v>0</v>
      </c>
      <c r="AN258" s="19">
        <f t="shared" si="108"/>
        <v>0</v>
      </c>
      <c r="AP258" s="19">
        <f t="shared" ca="1" si="82"/>
        <v>0</v>
      </c>
      <c r="AQ258" s="18">
        <f t="shared" si="83"/>
        <v>0.44346152288079971</v>
      </c>
    </row>
    <row r="259" spans="3:43" x14ac:dyDescent="0.25">
      <c r="C259">
        <f t="shared" si="84"/>
        <v>231</v>
      </c>
      <c r="D259">
        <f t="shared" si="85"/>
        <v>19</v>
      </c>
      <c r="E259" s="12">
        <f t="shared" si="86"/>
        <v>52871</v>
      </c>
      <c r="F259" s="12"/>
      <c r="G259" s="15">
        <f t="shared" si="87"/>
        <v>0</v>
      </c>
      <c r="H259" s="15">
        <f t="shared" si="88"/>
        <v>0</v>
      </c>
      <c r="I259" s="15"/>
      <c r="J259" s="16">
        <f t="shared" si="89"/>
        <v>0</v>
      </c>
      <c r="K259" s="16">
        <f t="shared" si="90"/>
        <v>0</v>
      </c>
      <c r="L259">
        <f t="shared" si="91"/>
        <v>0</v>
      </c>
      <c r="M259">
        <f t="shared" si="92"/>
        <v>0</v>
      </c>
      <c r="N259" s="16">
        <f t="shared" si="93"/>
        <v>0</v>
      </c>
      <c r="O259" s="16"/>
      <c r="P259" s="17">
        <f t="shared" si="94"/>
        <v>0</v>
      </c>
      <c r="Q259">
        <f>Q258/(1+Assumptions!$E$8/12)</f>
        <v>0.44189647287270883</v>
      </c>
      <c r="S259" s="17">
        <f t="shared" si="95"/>
        <v>0</v>
      </c>
      <c r="T259" s="17">
        <f>T258*(1+$K$24)*Z259</f>
        <v>0</v>
      </c>
      <c r="U259" s="17">
        <f t="shared" si="96"/>
        <v>0</v>
      </c>
      <c r="V259" s="17">
        <f t="shared" si="97"/>
        <v>0</v>
      </c>
      <c r="W259" s="17">
        <f t="shared" si="98"/>
        <v>0</v>
      </c>
      <c r="Y259">
        <f>(MONTH(E259)=MONTH(Assumptions!$E$6))*(YEAR(Assumptions!$E$6)=YEAR('Rent v Mortgage'!E259))</f>
        <v>0</v>
      </c>
      <c r="Z259">
        <f>--(SUM($Y$28:Y258)&lt;1)*AA259</f>
        <v>0</v>
      </c>
      <c r="AA259">
        <f t="shared" si="99"/>
        <v>1</v>
      </c>
      <c r="AB259" s="20"/>
      <c r="AC259">
        <f t="shared" si="100"/>
        <v>231</v>
      </c>
      <c r="AD259">
        <f t="shared" si="101"/>
        <v>2044</v>
      </c>
      <c r="AE259" s="12">
        <f t="shared" si="102"/>
        <v>52871</v>
      </c>
      <c r="AG259" s="19">
        <f t="shared" si="103"/>
        <v>0</v>
      </c>
      <c r="AH259" s="19">
        <f t="shared" si="104"/>
        <v>0</v>
      </c>
      <c r="AI259" s="19">
        <f t="shared" si="105"/>
        <v>0</v>
      </c>
      <c r="AK259" s="19">
        <f t="shared" si="106"/>
        <v>0</v>
      </c>
      <c r="AL259" s="19">
        <f ca="1">(IF(MOD(AC259,($AE$15*12)),0,$AG259-IFERROR(SUM(OFFSET(AL258,,,-$AE$15*12)),0))-SUM($AL$28:AL258)*(Z260=0))*(Z259=1)</f>
        <v>0</v>
      </c>
      <c r="AM259" s="19">
        <f t="shared" si="107"/>
        <v>0</v>
      </c>
      <c r="AN259" s="19">
        <f t="shared" si="108"/>
        <v>0</v>
      </c>
      <c r="AP259" s="19">
        <f t="shared" ca="1" si="82"/>
        <v>0</v>
      </c>
      <c r="AQ259" s="18">
        <f t="shared" si="83"/>
        <v>0.44189647287270883</v>
      </c>
    </row>
    <row r="260" spans="3:43" x14ac:dyDescent="0.25">
      <c r="C260">
        <f t="shared" si="84"/>
        <v>232</v>
      </c>
      <c r="D260">
        <f t="shared" si="85"/>
        <v>19</v>
      </c>
      <c r="E260" s="12">
        <f t="shared" si="86"/>
        <v>52902</v>
      </c>
      <c r="F260" s="12"/>
      <c r="G260" s="15">
        <f t="shared" si="87"/>
        <v>0</v>
      </c>
      <c r="H260" s="15">
        <f t="shared" si="88"/>
        <v>0</v>
      </c>
      <c r="I260" s="15"/>
      <c r="J260" s="16">
        <f t="shared" si="89"/>
        <v>0</v>
      </c>
      <c r="K260" s="16">
        <f t="shared" si="90"/>
        <v>0</v>
      </c>
      <c r="L260">
        <f t="shared" si="91"/>
        <v>0</v>
      </c>
      <c r="M260">
        <f t="shared" si="92"/>
        <v>0</v>
      </c>
      <c r="N260" s="16">
        <f t="shared" si="93"/>
        <v>0</v>
      </c>
      <c r="O260" s="16"/>
      <c r="P260" s="17">
        <f t="shared" si="94"/>
        <v>0</v>
      </c>
      <c r="Q260">
        <f>Q259/(1+Assumptions!$E$8/12)</f>
        <v>0.44033694618829194</v>
      </c>
      <c r="S260" s="17">
        <f t="shared" si="95"/>
        <v>0</v>
      </c>
      <c r="T260" s="17">
        <f>T259*(1+$K$24)*Z260</f>
        <v>0</v>
      </c>
      <c r="U260" s="17">
        <f t="shared" si="96"/>
        <v>0</v>
      </c>
      <c r="V260" s="17">
        <f t="shared" si="97"/>
        <v>0</v>
      </c>
      <c r="W260" s="17">
        <f t="shared" si="98"/>
        <v>0</v>
      </c>
      <c r="Y260">
        <f>(MONTH(E260)=MONTH(Assumptions!$E$6))*(YEAR(Assumptions!$E$6)=YEAR('Rent v Mortgage'!E260))</f>
        <v>0</v>
      </c>
      <c r="Z260">
        <f>--(SUM($Y$28:Y259)&lt;1)*AA260</f>
        <v>0</v>
      </c>
      <c r="AA260">
        <f t="shared" si="99"/>
        <v>1</v>
      </c>
      <c r="AB260" s="20"/>
      <c r="AC260">
        <f t="shared" si="100"/>
        <v>232</v>
      </c>
      <c r="AD260">
        <f t="shared" si="101"/>
        <v>2044</v>
      </c>
      <c r="AE260" s="12">
        <f t="shared" si="102"/>
        <v>52902</v>
      </c>
      <c r="AG260" s="19">
        <f t="shared" si="103"/>
        <v>0</v>
      </c>
      <c r="AH260" s="19">
        <f t="shared" si="104"/>
        <v>0</v>
      </c>
      <c r="AI260" s="19">
        <f t="shared" si="105"/>
        <v>0</v>
      </c>
      <c r="AK260" s="19">
        <f t="shared" si="106"/>
        <v>0</v>
      </c>
      <c r="AL260" s="19">
        <f ca="1">(IF(MOD(AC260,($AE$15*12)),0,$AG260-IFERROR(SUM(OFFSET(AL259,,,-$AE$15*12)),0))-SUM($AL$28:AL259)*(Z261=0))*(Z260=1)</f>
        <v>0</v>
      </c>
      <c r="AM260" s="19">
        <f t="shared" si="107"/>
        <v>0</v>
      </c>
      <c r="AN260" s="19">
        <f t="shared" si="108"/>
        <v>0</v>
      </c>
      <c r="AP260" s="19">
        <f t="shared" ca="1" si="82"/>
        <v>0</v>
      </c>
      <c r="AQ260" s="18">
        <f t="shared" si="83"/>
        <v>0.44033694618829194</v>
      </c>
    </row>
    <row r="261" spans="3:43" x14ac:dyDescent="0.25">
      <c r="C261">
        <f t="shared" si="84"/>
        <v>233</v>
      </c>
      <c r="D261">
        <f t="shared" si="85"/>
        <v>19</v>
      </c>
      <c r="E261" s="12">
        <f t="shared" si="86"/>
        <v>52932</v>
      </c>
      <c r="F261" s="12"/>
      <c r="G261" s="15">
        <f t="shared" si="87"/>
        <v>0</v>
      </c>
      <c r="H261" s="15">
        <f t="shared" si="88"/>
        <v>0</v>
      </c>
      <c r="I261" s="15"/>
      <c r="J261" s="16">
        <f t="shared" si="89"/>
        <v>0</v>
      </c>
      <c r="K261" s="16">
        <f t="shared" si="90"/>
        <v>0</v>
      </c>
      <c r="L261">
        <f t="shared" si="91"/>
        <v>0</v>
      </c>
      <c r="M261">
        <f t="shared" si="92"/>
        <v>0</v>
      </c>
      <c r="N261" s="16">
        <f t="shared" si="93"/>
        <v>0</v>
      </c>
      <c r="O261" s="16"/>
      <c r="P261" s="17">
        <f t="shared" si="94"/>
        <v>0</v>
      </c>
      <c r="Q261">
        <f>Q260/(1+Assumptions!$E$8/12)</f>
        <v>0.43878292333481445</v>
      </c>
      <c r="S261" s="17">
        <f t="shared" si="95"/>
        <v>0</v>
      </c>
      <c r="T261" s="17">
        <f>T260*(1+$K$24)*Z261</f>
        <v>0</v>
      </c>
      <c r="U261" s="17">
        <f t="shared" si="96"/>
        <v>0</v>
      </c>
      <c r="V261" s="17">
        <f t="shared" si="97"/>
        <v>0</v>
      </c>
      <c r="W261" s="17">
        <f t="shared" si="98"/>
        <v>0</v>
      </c>
      <c r="Y261">
        <f>(MONTH(E261)=MONTH(Assumptions!$E$6))*(YEAR(Assumptions!$E$6)=YEAR('Rent v Mortgage'!E261))</f>
        <v>0</v>
      </c>
      <c r="Z261">
        <f>--(SUM($Y$28:Y260)&lt;1)*AA261</f>
        <v>0</v>
      </c>
      <c r="AA261">
        <f t="shared" si="99"/>
        <v>1</v>
      </c>
      <c r="AB261" s="20"/>
      <c r="AC261">
        <f t="shared" si="100"/>
        <v>233</v>
      </c>
      <c r="AD261">
        <f t="shared" si="101"/>
        <v>2044</v>
      </c>
      <c r="AE261" s="12">
        <f t="shared" si="102"/>
        <v>52932</v>
      </c>
      <c r="AG261" s="19">
        <f t="shared" si="103"/>
        <v>0</v>
      </c>
      <c r="AH261" s="19">
        <f t="shared" si="104"/>
        <v>0</v>
      </c>
      <c r="AI261" s="19">
        <f t="shared" si="105"/>
        <v>0</v>
      </c>
      <c r="AK261" s="19">
        <f t="shared" si="106"/>
        <v>0</v>
      </c>
      <c r="AL261" s="19">
        <f ca="1">(IF(MOD(AC261,($AE$15*12)),0,$AG261-IFERROR(SUM(OFFSET(AL260,,,-$AE$15*12)),0))-SUM($AL$28:AL260)*(Z262=0))*(Z261=1)</f>
        <v>0</v>
      </c>
      <c r="AM261" s="19">
        <f t="shared" si="107"/>
        <v>0</v>
      </c>
      <c r="AN261" s="19">
        <f t="shared" si="108"/>
        <v>0</v>
      </c>
      <c r="AP261" s="19">
        <f t="shared" ca="1" si="82"/>
        <v>0</v>
      </c>
      <c r="AQ261" s="18">
        <f t="shared" si="83"/>
        <v>0.43878292333481445</v>
      </c>
    </row>
    <row r="262" spans="3:43" x14ac:dyDescent="0.25">
      <c r="C262">
        <f t="shared" si="84"/>
        <v>234</v>
      </c>
      <c r="D262">
        <f t="shared" si="85"/>
        <v>19</v>
      </c>
      <c r="E262" s="12">
        <f t="shared" si="86"/>
        <v>52963</v>
      </c>
      <c r="F262" s="12"/>
      <c r="G262" s="15">
        <f t="shared" si="87"/>
        <v>0</v>
      </c>
      <c r="H262" s="15">
        <f t="shared" si="88"/>
        <v>0</v>
      </c>
      <c r="I262" s="15"/>
      <c r="J262" s="16">
        <f t="shared" si="89"/>
        <v>0</v>
      </c>
      <c r="K262" s="16">
        <f t="shared" si="90"/>
        <v>0</v>
      </c>
      <c r="L262">
        <f t="shared" si="91"/>
        <v>0</v>
      </c>
      <c r="M262">
        <f t="shared" si="92"/>
        <v>0</v>
      </c>
      <c r="N262" s="16">
        <f t="shared" si="93"/>
        <v>0</v>
      </c>
      <c r="O262" s="16"/>
      <c r="P262" s="17">
        <f t="shared" si="94"/>
        <v>0</v>
      </c>
      <c r="Q262">
        <f>Q261/(1+Assumptions!$E$8/12)</f>
        <v>0.43723438488833488</v>
      </c>
      <c r="S262" s="17">
        <f t="shared" si="95"/>
        <v>0</v>
      </c>
      <c r="T262" s="17">
        <f>T261*(1+$K$24)*Z262</f>
        <v>0</v>
      </c>
      <c r="U262" s="17">
        <f t="shared" si="96"/>
        <v>0</v>
      </c>
      <c r="V262" s="17">
        <f t="shared" si="97"/>
        <v>0</v>
      </c>
      <c r="W262" s="17">
        <f t="shared" si="98"/>
        <v>0</v>
      </c>
      <c r="Y262">
        <f>(MONTH(E262)=MONTH(Assumptions!$E$6))*(YEAR(Assumptions!$E$6)=YEAR('Rent v Mortgage'!E262))</f>
        <v>0</v>
      </c>
      <c r="Z262">
        <f>--(SUM($Y$28:Y261)&lt;1)*AA262</f>
        <v>0</v>
      </c>
      <c r="AA262">
        <f t="shared" si="99"/>
        <v>1</v>
      </c>
      <c r="AB262" s="20"/>
      <c r="AC262">
        <f t="shared" si="100"/>
        <v>234</v>
      </c>
      <c r="AD262">
        <f t="shared" si="101"/>
        <v>2045</v>
      </c>
      <c r="AE262" s="12">
        <f t="shared" si="102"/>
        <v>52963</v>
      </c>
      <c r="AG262" s="19">
        <f t="shared" si="103"/>
        <v>0</v>
      </c>
      <c r="AH262" s="19">
        <f t="shared" si="104"/>
        <v>0</v>
      </c>
      <c r="AI262" s="19">
        <f t="shared" si="105"/>
        <v>0</v>
      </c>
      <c r="AK262" s="19">
        <f t="shared" si="106"/>
        <v>0</v>
      </c>
      <c r="AL262" s="19">
        <f ca="1">(IF(MOD(AC262,($AE$15*12)),0,$AG262-IFERROR(SUM(OFFSET(AL261,,,-$AE$15*12)),0))-SUM($AL$28:AL261)*(Z263=0))*(Z262=1)</f>
        <v>0</v>
      </c>
      <c r="AM262" s="19">
        <f t="shared" si="107"/>
        <v>0</v>
      </c>
      <c r="AN262" s="19">
        <f t="shared" si="108"/>
        <v>0</v>
      </c>
      <c r="AP262" s="19">
        <f t="shared" ca="1" si="82"/>
        <v>0</v>
      </c>
      <c r="AQ262" s="18">
        <f t="shared" si="83"/>
        <v>0.43723438488833488</v>
      </c>
    </row>
    <row r="263" spans="3:43" x14ac:dyDescent="0.25">
      <c r="C263">
        <f t="shared" si="84"/>
        <v>235</v>
      </c>
      <c r="D263">
        <f t="shared" si="85"/>
        <v>19</v>
      </c>
      <c r="E263" s="12">
        <f t="shared" si="86"/>
        <v>52994</v>
      </c>
      <c r="F263" s="12"/>
      <c r="G263" s="15">
        <f t="shared" si="87"/>
        <v>0</v>
      </c>
      <c r="H263" s="15">
        <f t="shared" si="88"/>
        <v>0</v>
      </c>
      <c r="I263" s="15"/>
      <c r="J263" s="16">
        <f t="shared" si="89"/>
        <v>0</v>
      </c>
      <c r="K263" s="16">
        <f t="shared" si="90"/>
        <v>0</v>
      </c>
      <c r="L263">
        <f t="shared" si="91"/>
        <v>0</v>
      </c>
      <c r="M263">
        <f t="shared" si="92"/>
        <v>0</v>
      </c>
      <c r="N263" s="16">
        <f t="shared" si="93"/>
        <v>0</v>
      </c>
      <c r="O263" s="16"/>
      <c r="P263" s="17">
        <f t="shared" si="94"/>
        <v>0</v>
      </c>
      <c r="Q263">
        <f>Q262/(1+Assumptions!$E$8/12)</f>
        <v>0.43569131149346213</v>
      </c>
      <c r="S263" s="17">
        <f t="shared" si="95"/>
        <v>0</v>
      </c>
      <c r="T263" s="17">
        <f>T262*(1+$K$24)*Z263</f>
        <v>0</v>
      </c>
      <c r="U263" s="17">
        <f t="shared" si="96"/>
        <v>0</v>
      </c>
      <c r="V263" s="17">
        <f t="shared" si="97"/>
        <v>0</v>
      </c>
      <c r="W263" s="17">
        <f t="shared" si="98"/>
        <v>0</v>
      </c>
      <c r="Y263">
        <f>(MONTH(E263)=MONTH(Assumptions!$E$6))*(YEAR(Assumptions!$E$6)=YEAR('Rent v Mortgage'!E263))</f>
        <v>0</v>
      </c>
      <c r="Z263">
        <f>--(SUM($Y$28:Y262)&lt;1)*AA263</f>
        <v>0</v>
      </c>
      <c r="AA263">
        <f t="shared" si="99"/>
        <v>1</v>
      </c>
      <c r="AB263" s="20"/>
      <c r="AC263">
        <f t="shared" si="100"/>
        <v>235</v>
      </c>
      <c r="AD263">
        <f t="shared" si="101"/>
        <v>2045</v>
      </c>
      <c r="AE263" s="12">
        <f t="shared" si="102"/>
        <v>52994</v>
      </c>
      <c r="AG263" s="19">
        <f t="shared" si="103"/>
        <v>0</v>
      </c>
      <c r="AH263" s="19">
        <f t="shared" si="104"/>
        <v>0</v>
      </c>
      <c r="AI263" s="19">
        <f t="shared" si="105"/>
        <v>0</v>
      </c>
      <c r="AK263" s="19">
        <f t="shared" si="106"/>
        <v>0</v>
      </c>
      <c r="AL263" s="19">
        <f ca="1">(IF(MOD(AC263,($AE$15*12)),0,$AG263-IFERROR(SUM(OFFSET(AL262,,,-$AE$15*12)),0))-SUM($AL$28:AL262)*(Z264=0))*(Z263=1)</f>
        <v>0</v>
      </c>
      <c r="AM263" s="19">
        <f t="shared" si="107"/>
        <v>0</v>
      </c>
      <c r="AN263" s="19">
        <f t="shared" si="108"/>
        <v>0</v>
      </c>
      <c r="AP263" s="19">
        <f t="shared" ca="1" si="82"/>
        <v>0</v>
      </c>
      <c r="AQ263" s="18">
        <f t="shared" si="83"/>
        <v>0.43569131149346213</v>
      </c>
    </row>
    <row r="264" spans="3:43" x14ac:dyDescent="0.25">
      <c r="C264">
        <f t="shared" si="84"/>
        <v>236</v>
      </c>
      <c r="D264">
        <f t="shared" si="85"/>
        <v>19</v>
      </c>
      <c r="E264" s="12">
        <f t="shared" si="86"/>
        <v>53022</v>
      </c>
      <c r="F264" s="12"/>
      <c r="G264" s="15">
        <f t="shared" si="87"/>
        <v>0</v>
      </c>
      <c r="H264" s="15">
        <f t="shared" si="88"/>
        <v>0</v>
      </c>
      <c r="I264" s="15"/>
      <c r="J264" s="16">
        <f t="shared" si="89"/>
        <v>0</v>
      </c>
      <c r="K264" s="16">
        <f t="shared" si="90"/>
        <v>0</v>
      </c>
      <c r="L264">
        <f t="shared" si="91"/>
        <v>0</v>
      </c>
      <c r="M264">
        <f t="shared" si="92"/>
        <v>0</v>
      </c>
      <c r="N264" s="16">
        <f t="shared" si="93"/>
        <v>0</v>
      </c>
      <c r="O264" s="16"/>
      <c r="P264" s="17">
        <f t="shared" si="94"/>
        <v>0</v>
      </c>
      <c r="Q264">
        <f>Q263/(1+Assumptions!$E$8/12)</f>
        <v>0.43415368386311354</v>
      </c>
      <c r="S264" s="17">
        <f t="shared" si="95"/>
        <v>0</v>
      </c>
      <c r="T264" s="17">
        <f>T263*(1+$K$24)*Z264</f>
        <v>0</v>
      </c>
      <c r="U264" s="17">
        <f t="shared" si="96"/>
        <v>0</v>
      </c>
      <c r="V264" s="17">
        <f t="shared" si="97"/>
        <v>0</v>
      </c>
      <c r="W264" s="17">
        <f t="shared" si="98"/>
        <v>0</v>
      </c>
      <c r="Y264">
        <f>(MONTH(E264)=MONTH(Assumptions!$E$6))*(YEAR(Assumptions!$E$6)=YEAR('Rent v Mortgage'!E264))</f>
        <v>0</v>
      </c>
      <c r="Z264">
        <f>--(SUM($Y$28:Y263)&lt;1)*AA264</f>
        <v>0</v>
      </c>
      <c r="AA264">
        <f t="shared" si="99"/>
        <v>1</v>
      </c>
      <c r="AB264" s="20"/>
      <c r="AC264">
        <f t="shared" si="100"/>
        <v>236</v>
      </c>
      <c r="AD264">
        <f t="shared" si="101"/>
        <v>2045</v>
      </c>
      <c r="AE264" s="12">
        <f t="shared" si="102"/>
        <v>53022</v>
      </c>
      <c r="AG264" s="19">
        <f t="shared" si="103"/>
        <v>0</v>
      </c>
      <c r="AH264" s="19">
        <f t="shared" si="104"/>
        <v>0</v>
      </c>
      <c r="AI264" s="19">
        <f t="shared" si="105"/>
        <v>0</v>
      </c>
      <c r="AK264" s="19">
        <f t="shared" si="106"/>
        <v>0</v>
      </c>
      <c r="AL264" s="19">
        <f ca="1">(IF(MOD(AC264,($AE$15*12)),0,$AG264-IFERROR(SUM(OFFSET(AL263,,,-$AE$15*12)),0))-SUM($AL$28:AL263)*(Z265=0))*(Z264=1)</f>
        <v>0</v>
      </c>
      <c r="AM264" s="19">
        <f t="shared" si="107"/>
        <v>0</v>
      </c>
      <c r="AN264" s="19">
        <f t="shared" si="108"/>
        <v>0</v>
      </c>
      <c r="AP264" s="19">
        <f t="shared" ca="1" si="82"/>
        <v>0</v>
      </c>
      <c r="AQ264" s="18">
        <f t="shared" si="83"/>
        <v>0.43415368386311354</v>
      </c>
    </row>
    <row r="265" spans="3:43" x14ac:dyDescent="0.25">
      <c r="C265">
        <f t="shared" si="84"/>
        <v>237</v>
      </c>
      <c r="D265">
        <f t="shared" si="85"/>
        <v>19</v>
      </c>
      <c r="E265" s="12">
        <f t="shared" si="86"/>
        <v>53053</v>
      </c>
      <c r="F265" s="12"/>
      <c r="G265" s="15">
        <f t="shared" si="87"/>
        <v>0</v>
      </c>
      <c r="H265" s="15">
        <f t="shared" si="88"/>
        <v>0</v>
      </c>
      <c r="I265" s="15"/>
      <c r="J265" s="16">
        <f t="shared" si="89"/>
        <v>0</v>
      </c>
      <c r="K265" s="16">
        <f t="shared" si="90"/>
        <v>0</v>
      </c>
      <c r="L265">
        <f t="shared" si="91"/>
        <v>0</v>
      </c>
      <c r="M265">
        <f t="shared" si="92"/>
        <v>0</v>
      </c>
      <c r="N265" s="16">
        <f t="shared" si="93"/>
        <v>0</v>
      </c>
      <c r="O265" s="16"/>
      <c r="P265" s="17">
        <f t="shared" si="94"/>
        <v>0</v>
      </c>
      <c r="Q265">
        <f>Q264/(1+Assumptions!$E$8/12)</f>
        <v>0.43262148277827378</v>
      </c>
      <c r="S265" s="17">
        <f t="shared" si="95"/>
        <v>0</v>
      </c>
      <c r="T265" s="17">
        <f>T264*(1+$K$24)*Z265</f>
        <v>0</v>
      </c>
      <c r="U265" s="17">
        <f t="shared" si="96"/>
        <v>0</v>
      </c>
      <c r="V265" s="17">
        <f t="shared" si="97"/>
        <v>0</v>
      </c>
      <c r="W265" s="17">
        <f t="shared" si="98"/>
        <v>0</v>
      </c>
      <c r="Y265">
        <f>(MONTH(E265)=MONTH(Assumptions!$E$6))*(YEAR(Assumptions!$E$6)=YEAR('Rent v Mortgage'!E265))</f>
        <v>0</v>
      </c>
      <c r="Z265">
        <f>--(SUM($Y$28:Y264)&lt;1)*AA265</f>
        <v>0</v>
      </c>
      <c r="AA265">
        <f t="shared" si="99"/>
        <v>1</v>
      </c>
      <c r="AB265" s="20"/>
      <c r="AC265">
        <f t="shared" si="100"/>
        <v>237</v>
      </c>
      <c r="AD265">
        <f t="shared" si="101"/>
        <v>2045</v>
      </c>
      <c r="AE265" s="12">
        <f t="shared" si="102"/>
        <v>53053</v>
      </c>
      <c r="AG265" s="19">
        <f t="shared" si="103"/>
        <v>0</v>
      </c>
      <c r="AH265" s="19">
        <f t="shared" si="104"/>
        <v>0</v>
      </c>
      <c r="AI265" s="19">
        <f t="shared" si="105"/>
        <v>0</v>
      </c>
      <c r="AK265" s="19">
        <f t="shared" si="106"/>
        <v>0</v>
      </c>
      <c r="AL265" s="19">
        <f ca="1">(IF(MOD(AC265,($AE$15*12)),0,$AG265-IFERROR(SUM(OFFSET(AL264,,,-$AE$15*12)),0))-SUM($AL$28:AL264)*(Z266=0))*(Z265=1)</f>
        <v>0</v>
      </c>
      <c r="AM265" s="19">
        <f t="shared" si="107"/>
        <v>0</v>
      </c>
      <c r="AN265" s="19">
        <f t="shared" si="108"/>
        <v>0</v>
      </c>
      <c r="AP265" s="19">
        <f t="shared" ca="1" si="82"/>
        <v>0</v>
      </c>
      <c r="AQ265" s="18">
        <f t="shared" si="83"/>
        <v>0.43262148277827378</v>
      </c>
    </row>
    <row r="266" spans="3:43" x14ac:dyDescent="0.25">
      <c r="C266">
        <f t="shared" si="84"/>
        <v>238</v>
      </c>
      <c r="D266">
        <f t="shared" si="85"/>
        <v>19</v>
      </c>
      <c r="E266" s="12">
        <f t="shared" si="86"/>
        <v>53083</v>
      </c>
      <c r="F266" s="12"/>
      <c r="G266" s="15">
        <f t="shared" si="87"/>
        <v>0</v>
      </c>
      <c r="H266" s="15">
        <f t="shared" si="88"/>
        <v>0</v>
      </c>
      <c r="I266" s="15"/>
      <c r="J266" s="16">
        <f t="shared" si="89"/>
        <v>0</v>
      </c>
      <c r="K266" s="16">
        <f t="shared" si="90"/>
        <v>0</v>
      </c>
      <c r="L266">
        <f t="shared" si="91"/>
        <v>0</v>
      </c>
      <c r="M266">
        <f t="shared" si="92"/>
        <v>0</v>
      </c>
      <c r="N266" s="16">
        <f t="shared" si="93"/>
        <v>0</v>
      </c>
      <c r="O266" s="16"/>
      <c r="P266" s="17">
        <f t="shared" si="94"/>
        <v>0</v>
      </c>
      <c r="Q266">
        <f>Q265/(1+Assumptions!$E$8/12)</f>
        <v>0.43109468908775461</v>
      </c>
      <c r="S266" s="17">
        <f t="shared" si="95"/>
        <v>0</v>
      </c>
      <c r="T266" s="17">
        <f>T265*(1+$K$24)*Z266</f>
        <v>0</v>
      </c>
      <c r="U266" s="17">
        <f t="shared" si="96"/>
        <v>0</v>
      </c>
      <c r="V266" s="17">
        <f t="shared" si="97"/>
        <v>0</v>
      </c>
      <c r="W266" s="17">
        <f t="shared" si="98"/>
        <v>0</v>
      </c>
      <c r="Y266">
        <f>(MONTH(E266)=MONTH(Assumptions!$E$6))*(YEAR(Assumptions!$E$6)=YEAR('Rent v Mortgage'!E266))</f>
        <v>0</v>
      </c>
      <c r="Z266">
        <f>--(SUM($Y$28:Y265)&lt;1)*AA266</f>
        <v>0</v>
      </c>
      <c r="AA266">
        <f t="shared" si="99"/>
        <v>1</v>
      </c>
      <c r="AB266" s="20"/>
      <c r="AC266">
        <f t="shared" si="100"/>
        <v>238</v>
      </c>
      <c r="AD266">
        <f t="shared" si="101"/>
        <v>2045</v>
      </c>
      <c r="AE266" s="12">
        <f t="shared" si="102"/>
        <v>53083</v>
      </c>
      <c r="AG266" s="19">
        <f t="shared" si="103"/>
        <v>0</v>
      </c>
      <c r="AH266" s="19">
        <f t="shared" si="104"/>
        <v>0</v>
      </c>
      <c r="AI266" s="19">
        <f t="shared" si="105"/>
        <v>0</v>
      </c>
      <c r="AK266" s="19">
        <f t="shared" si="106"/>
        <v>0</v>
      </c>
      <c r="AL266" s="19">
        <f ca="1">(IF(MOD(AC266,($AE$15*12)),0,$AG266-IFERROR(SUM(OFFSET(AL265,,,-$AE$15*12)),0))-SUM($AL$28:AL265)*(Z267=0))*(Z266=1)</f>
        <v>0</v>
      </c>
      <c r="AM266" s="19">
        <f t="shared" si="107"/>
        <v>0</v>
      </c>
      <c r="AN266" s="19">
        <f t="shared" si="108"/>
        <v>0</v>
      </c>
      <c r="AP266" s="19">
        <f t="shared" ca="1" si="82"/>
        <v>0</v>
      </c>
      <c r="AQ266" s="18">
        <f t="shared" si="83"/>
        <v>0.43109468908775461</v>
      </c>
    </row>
    <row r="267" spans="3:43" x14ac:dyDescent="0.25">
      <c r="C267">
        <f t="shared" si="84"/>
        <v>239</v>
      </c>
      <c r="D267">
        <f t="shared" si="85"/>
        <v>19</v>
      </c>
      <c r="E267" s="12">
        <f t="shared" si="86"/>
        <v>53114</v>
      </c>
      <c r="F267" s="12"/>
      <c r="G267" s="15">
        <f t="shared" si="87"/>
        <v>0</v>
      </c>
      <c r="H267" s="15">
        <f t="shared" si="88"/>
        <v>0</v>
      </c>
      <c r="I267" s="15"/>
      <c r="J267" s="16">
        <f t="shared" si="89"/>
        <v>0</v>
      </c>
      <c r="K267" s="16">
        <f t="shared" si="90"/>
        <v>0</v>
      </c>
      <c r="L267">
        <f t="shared" si="91"/>
        <v>0</v>
      </c>
      <c r="M267">
        <f t="shared" si="92"/>
        <v>0</v>
      </c>
      <c r="N267" s="16">
        <f t="shared" si="93"/>
        <v>0</v>
      </c>
      <c r="O267" s="16"/>
      <c r="P267" s="17">
        <f t="shared" si="94"/>
        <v>0</v>
      </c>
      <c r="Q267">
        <f>Q266/(1+Assumptions!$E$8/12)</f>
        <v>0.42957328370795556</v>
      </c>
      <c r="S267" s="17">
        <f t="shared" si="95"/>
        <v>0</v>
      </c>
      <c r="T267" s="17">
        <f>T266*(1+$K$24)*Z267</f>
        <v>0</v>
      </c>
      <c r="U267" s="17">
        <f t="shared" si="96"/>
        <v>0</v>
      </c>
      <c r="V267" s="17">
        <f t="shared" si="97"/>
        <v>0</v>
      </c>
      <c r="W267" s="17">
        <f t="shared" si="98"/>
        <v>0</v>
      </c>
      <c r="Y267">
        <f>(MONTH(E267)=MONTH(Assumptions!$E$6))*(YEAR(Assumptions!$E$6)=YEAR('Rent v Mortgage'!E267))</f>
        <v>0</v>
      </c>
      <c r="Z267">
        <f>--(SUM($Y$28:Y266)&lt;1)*AA267</f>
        <v>0</v>
      </c>
      <c r="AA267">
        <f t="shared" si="99"/>
        <v>1</v>
      </c>
      <c r="AB267" s="20"/>
      <c r="AC267">
        <f t="shared" si="100"/>
        <v>239</v>
      </c>
      <c r="AD267">
        <f t="shared" si="101"/>
        <v>2045</v>
      </c>
      <c r="AE267" s="12">
        <f t="shared" si="102"/>
        <v>53114</v>
      </c>
      <c r="AG267" s="19">
        <f t="shared" si="103"/>
        <v>0</v>
      </c>
      <c r="AH267" s="19">
        <f t="shared" si="104"/>
        <v>0</v>
      </c>
      <c r="AI267" s="19">
        <f t="shared" si="105"/>
        <v>0</v>
      </c>
      <c r="AK267" s="19">
        <f t="shared" si="106"/>
        <v>0</v>
      </c>
      <c r="AL267" s="19">
        <f ca="1">(IF(MOD(AC267,($AE$15*12)),0,$AG267-IFERROR(SUM(OFFSET(AL266,,,-$AE$15*12)),0))-SUM($AL$28:AL266)*(Z268=0))*(Z267=1)</f>
        <v>0</v>
      </c>
      <c r="AM267" s="19">
        <f t="shared" si="107"/>
        <v>0</v>
      </c>
      <c r="AN267" s="19">
        <f t="shared" si="108"/>
        <v>0</v>
      </c>
      <c r="AP267" s="19">
        <f t="shared" ca="1" si="82"/>
        <v>0</v>
      </c>
      <c r="AQ267" s="18">
        <f t="shared" si="83"/>
        <v>0.42957328370795556</v>
      </c>
    </row>
    <row r="268" spans="3:43" x14ac:dyDescent="0.25">
      <c r="C268">
        <f t="shared" si="84"/>
        <v>240</v>
      </c>
      <c r="D268">
        <f t="shared" si="85"/>
        <v>20</v>
      </c>
      <c r="E268" s="12">
        <f t="shared" si="86"/>
        <v>53144</v>
      </c>
      <c r="F268" s="12"/>
      <c r="G268" s="15">
        <f t="shared" si="87"/>
        <v>0</v>
      </c>
      <c r="H268" s="15">
        <f t="shared" si="88"/>
        <v>0</v>
      </c>
      <c r="I268" s="15"/>
      <c r="J268" s="16">
        <f t="shared" si="89"/>
        <v>0</v>
      </c>
      <c r="K268" s="16">
        <f t="shared" si="90"/>
        <v>0</v>
      </c>
      <c r="L268">
        <f t="shared" si="91"/>
        <v>0</v>
      </c>
      <c r="M268">
        <f t="shared" si="92"/>
        <v>0</v>
      </c>
      <c r="N268" s="16">
        <f t="shared" si="93"/>
        <v>0</v>
      </c>
      <c r="O268" s="16"/>
      <c r="P268" s="17">
        <f t="shared" si="94"/>
        <v>0</v>
      </c>
      <c r="Q268">
        <f>Q267/(1+Assumptions!$E$8/12)</f>
        <v>0.42805724762262537</v>
      </c>
      <c r="S268" s="17">
        <f t="shared" si="95"/>
        <v>0</v>
      </c>
      <c r="T268" s="17">
        <f>T267*(1+$K$24)*Z268</f>
        <v>0</v>
      </c>
      <c r="U268" s="17">
        <f t="shared" si="96"/>
        <v>0</v>
      </c>
      <c r="V268" s="17">
        <f t="shared" si="97"/>
        <v>0</v>
      </c>
      <c r="W268" s="17">
        <f t="shared" si="98"/>
        <v>0</v>
      </c>
      <c r="Y268">
        <f>(MONTH(E268)=MONTH(Assumptions!$E$6))*(YEAR(Assumptions!$E$6)=YEAR('Rent v Mortgage'!E268))</f>
        <v>0</v>
      </c>
      <c r="Z268">
        <f>--(SUM($Y$28:Y267)&lt;1)*AA268</f>
        <v>0</v>
      </c>
      <c r="AA268">
        <f t="shared" si="99"/>
        <v>1</v>
      </c>
      <c r="AB268" s="20"/>
      <c r="AC268">
        <f t="shared" si="100"/>
        <v>240</v>
      </c>
      <c r="AD268">
        <f t="shared" si="101"/>
        <v>2045</v>
      </c>
      <c r="AE268" s="12">
        <f t="shared" si="102"/>
        <v>53144</v>
      </c>
      <c r="AG268" s="19">
        <f t="shared" si="103"/>
        <v>0</v>
      </c>
      <c r="AH268" s="19">
        <f t="shared" si="104"/>
        <v>0</v>
      </c>
      <c r="AI268" s="19">
        <f t="shared" si="105"/>
        <v>0</v>
      </c>
      <c r="AK268" s="19">
        <f t="shared" si="106"/>
        <v>0</v>
      </c>
      <c r="AL268" s="19">
        <f ca="1">(IF(MOD(AC268,($AE$15*12)),0,$AG268-IFERROR(SUM(OFFSET(AL267,,,-$AE$15*12)),0))-SUM($AL$28:AL267)*(Z269=0))*(Z268=1)</f>
        <v>0</v>
      </c>
      <c r="AM268" s="19">
        <f t="shared" si="107"/>
        <v>0</v>
      </c>
      <c r="AN268" s="19">
        <f t="shared" si="108"/>
        <v>0</v>
      </c>
      <c r="AP268" s="19">
        <f t="shared" ca="1" si="82"/>
        <v>0</v>
      </c>
      <c r="AQ268" s="18">
        <f t="shared" si="83"/>
        <v>0.42805724762262537</v>
      </c>
    </row>
    <row r="269" spans="3:43" x14ac:dyDescent="0.25">
      <c r="C269">
        <f t="shared" si="84"/>
        <v>241</v>
      </c>
      <c r="D269">
        <f t="shared" si="85"/>
        <v>20</v>
      </c>
      <c r="E269" s="12">
        <f t="shared" si="86"/>
        <v>53175</v>
      </c>
      <c r="F269" s="12"/>
      <c r="G269" s="15">
        <f t="shared" si="87"/>
        <v>0</v>
      </c>
      <c r="H269" s="15">
        <f t="shared" si="88"/>
        <v>0</v>
      </c>
      <c r="I269" s="15"/>
      <c r="J269" s="16">
        <f t="shared" si="89"/>
        <v>0</v>
      </c>
      <c r="K269" s="16">
        <f t="shared" si="90"/>
        <v>0</v>
      </c>
      <c r="L269">
        <f t="shared" si="91"/>
        <v>0</v>
      </c>
      <c r="M269">
        <f t="shared" si="92"/>
        <v>0</v>
      </c>
      <c r="N269" s="16">
        <f t="shared" si="93"/>
        <v>0</v>
      </c>
      <c r="O269" s="16"/>
      <c r="P269" s="17">
        <f t="shared" si="94"/>
        <v>0</v>
      </c>
      <c r="Q269">
        <f>Q268/(1+Assumptions!$E$8/12)</f>
        <v>0.42654656188262435</v>
      </c>
      <c r="S269" s="17">
        <f t="shared" si="95"/>
        <v>0</v>
      </c>
      <c r="T269" s="17">
        <f>T268*(1+$K$24)*Z269</f>
        <v>0</v>
      </c>
      <c r="U269" s="17">
        <f t="shared" si="96"/>
        <v>0</v>
      </c>
      <c r="V269" s="17">
        <f t="shared" si="97"/>
        <v>0</v>
      </c>
      <c r="W269" s="17">
        <f t="shared" si="98"/>
        <v>0</v>
      </c>
      <c r="Y269">
        <f>(MONTH(E269)=MONTH(Assumptions!$E$6))*(YEAR(Assumptions!$E$6)=YEAR('Rent v Mortgage'!E269))</f>
        <v>0</v>
      </c>
      <c r="Z269">
        <f>--(SUM($Y$28:Y268)&lt;1)*AA269</f>
        <v>0</v>
      </c>
      <c r="AA269">
        <f t="shared" si="99"/>
        <v>1</v>
      </c>
      <c r="AB269" s="20"/>
      <c r="AC269">
        <f t="shared" si="100"/>
        <v>241</v>
      </c>
      <c r="AD269">
        <f t="shared" si="101"/>
        <v>2045</v>
      </c>
      <c r="AE269" s="12">
        <f t="shared" si="102"/>
        <v>53175</v>
      </c>
      <c r="AG269" s="19">
        <f t="shared" si="103"/>
        <v>0</v>
      </c>
      <c r="AH269" s="19">
        <f t="shared" si="104"/>
        <v>0</v>
      </c>
      <c r="AI269" s="19">
        <f t="shared" si="105"/>
        <v>0</v>
      </c>
      <c r="AK269" s="19">
        <f t="shared" si="106"/>
        <v>0</v>
      </c>
      <c r="AL269" s="19">
        <f ca="1">(IF(MOD(AC269,($AE$15*12)),0,$AG269-IFERROR(SUM(OFFSET(AL268,,,-$AE$15*12)),0))-SUM($AL$28:AL268)*(Z270=0))*(Z269=1)</f>
        <v>0</v>
      </c>
      <c r="AM269" s="19">
        <f t="shared" si="107"/>
        <v>0</v>
      </c>
      <c r="AN269" s="19">
        <f t="shared" si="108"/>
        <v>0</v>
      </c>
      <c r="AP269" s="19">
        <f t="shared" ca="1" si="82"/>
        <v>0</v>
      </c>
      <c r="AQ269" s="18">
        <f t="shared" si="83"/>
        <v>0.42654656188262435</v>
      </c>
    </row>
    <row r="270" spans="3:43" x14ac:dyDescent="0.25">
      <c r="C270">
        <f t="shared" si="84"/>
        <v>242</v>
      </c>
      <c r="D270">
        <f t="shared" si="85"/>
        <v>20</v>
      </c>
      <c r="E270" s="12">
        <f t="shared" si="86"/>
        <v>53206</v>
      </c>
      <c r="F270" s="12"/>
      <c r="G270" s="15">
        <f t="shared" si="87"/>
        <v>0</v>
      </c>
      <c r="H270" s="15">
        <f t="shared" si="88"/>
        <v>0</v>
      </c>
      <c r="I270" s="15"/>
      <c r="J270" s="16">
        <f t="shared" si="89"/>
        <v>0</v>
      </c>
      <c r="K270" s="16">
        <f t="shared" si="90"/>
        <v>0</v>
      </c>
      <c r="L270">
        <f t="shared" si="91"/>
        <v>0</v>
      </c>
      <c r="M270">
        <f t="shared" si="92"/>
        <v>0</v>
      </c>
      <c r="N270" s="16">
        <f t="shared" si="93"/>
        <v>0</v>
      </c>
      <c r="O270" s="16"/>
      <c r="P270" s="17">
        <f t="shared" si="94"/>
        <v>0</v>
      </c>
      <c r="Q270">
        <f>Q269/(1+Assumptions!$E$8/12)</f>
        <v>0.42504120760568748</v>
      </c>
      <c r="S270" s="17">
        <f t="shared" si="95"/>
        <v>0</v>
      </c>
      <c r="T270" s="17">
        <f>T269*(1+$K$24)*Z270</f>
        <v>0</v>
      </c>
      <c r="U270" s="17">
        <f t="shared" si="96"/>
        <v>0</v>
      </c>
      <c r="V270" s="17">
        <f t="shared" si="97"/>
        <v>0</v>
      </c>
      <c r="W270" s="17">
        <f t="shared" si="98"/>
        <v>0</v>
      </c>
      <c r="Y270">
        <f>(MONTH(E270)=MONTH(Assumptions!$E$6))*(YEAR(Assumptions!$E$6)=YEAR('Rent v Mortgage'!E270))</f>
        <v>0</v>
      </c>
      <c r="Z270">
        <f>--(SUM($Y$28:Y269)&lt;1)*AA270</f>
        <v>0</v>
      </c>
      <c r="AA270">
        <f t="shared" si="99"/>
        <v>1</v>
      </c>
      <c r="AB270" s="20"/>
      <c r="AC270">
        <f t="shared" si="100"/>
        <v>242</v>
      </c>
      <c r="AD270">
        <f t="shared" si="101"/>
        <v>2045</v>
      </c>
      <c r="AE270" s="12">
        <f t="shared" si="102"/>
        <v>53206</v>
      </c>
      <c r="AG270" s="19">
        <f t="shared" si="103"/>
        <v>0</v>
      </c>
      <c r="AH270" s="19">
        <f t="shared" si="104"/>
        <v>0</v>
      </c>
      <c r="AI270" s="19">
        <f t="shared" si="105"/>
        <v>0</v>
      </c>
      <c r="AK270" s="19">
        <f t="shared" si="106"/>
        <v>0</v>
      </c>
      <c r="AL270" s="19">
        <f ca="1">(IF(MOD(AC270,($AE$15*12)),0,$AG270-IFERROR(SUM(OFFSET(AL269,,,-$AE$15*12)),0))-SUM($AL$28:AL269)*(Z271=0))*(Z270=1)</f>
        <v>0</v>
      </c>
      <c r="AM270" s="19">
        <f t="shared" si="107"/>
        <v>0</v>
      </c>
      <c r="AN270" s="19">
        <f t="shared" si="108"/>
        <v>0</v>
      </c>
      <c r="AP270" s="19">
        <f t="shared" ca="1" si="82"/>
        <v>0</v>
      </c>
      <c r="AQ270" s="18">
        <f t="shared" si="83"/>
        <v>0.42504120760568748</v>
      </c>
    </row>
    <row r="271" spans="3:43" x14ac:dyDescent="0.25">
      <c r="C271">
        <f t="shared" si="84"/>
        <v>243</v>
      </c>
      <c r="D271">
        <f t="shared" si="85"/>
        <v>20</v>
      </c>
      <c r="E271" s="12">
        <f t="shared" si="86"/>
        <v>53236</v>
      </c>
      <c r="F271" s="12"/>
      <c r="G271" s="15">
        <f t="shared" si="87"/>
        <v>0</v>
      </c>
      <c r="H271" s="15">
        <f t="shared" si="88"/>
        <v>0</v>
      </c>
      <c r="I271" s="15"/>
      <c r="J271" s="16">
        <f t="shared" si="89"/>
        <v>0</v>
      </c>
      <c r="K271" s="16">
        <f t="shared" si="90"/>
        <v>0</v>
      </c>
      <c r="L271">
        <f t="shared" si="91"/>
        <v>0</v>
      </c>
      <c r="M271">
        <f t="shared" si="92"/>
        <v>0</v>
      </c>
      <c r="N271" s="16">
        <f t="shared" si="93"/>
        <v>0</v>
      </c>
      <c r="O271" s="16"/>
      <c r="P271" s="17">
        <f t="shared" si="94"/>
        <v>0</v>
      </c>
      <c r="Q271">
        <f>Q270/(1+Assumptions!$E$8/12)</f>
        <v>0.42354116597618841</v>
      </c>
      <c r="S271" s="17">
        <f t="shared" si="95"/>
        <v>0</v>
      </c>
      <c r="T271" s="17">
        <f>T270*(1+$K$24)*Z271</f>
        <v>0</v>
      </c>
      <c r="U271" s="17">
        <f t="shared" si="96"/>
        <v>0</v>
      </c>
      <c r="V271" s="17">
        <f t="shared" si="97"/>
        <v>0</v>
      </c>
      <c r="W271" s="17">
        <f t="shared" si="98"/>
        <v>0</v>
      </c>
      <c r="Y271">
        <f>(MONTH(E271)=MONTH(Assumptions!$E$6))*(YEAR(Assumptions!$E$6)=YEAR('Rent v Mortgage'!E271))</f>
        <v>0</v>
      </c>
      <c r="Z271">
        <f>--(SUM($Y$28:Y270)&lt;1)*AA271</f>
        <v>0</v>
      </c>
      <c r="AA271">
        <f t="shared" si="99"/>
        <v>1</v>
      </c>
      <c r="AB271" s="20"/>
      <c r="AC271">
        <f t="shared" si="100"/>
        <v>243</v>
      </c>
      <c r="AD271">
        <f t="shared" si="101"/>
        <v>2045</v>
      </c>
      <c r="AE271" s="12">
        <f t="shared" si="102"/>
        <v>53236</v>
      </c>
      <c r="AG271" s="19">
        <f t="shared" si="103"/>
        <v>0</v>
      </c>
      <c r="AH271" s="19">
        <f t="shared" si="104"/>
        <v>0</v>
      </c>
      <c r="AI271" s="19">
        <f t="shared" si="105"/>
        <v>0</v>
      </c>
      <c r="AK271" s="19">
        <f t="shared" si="106"/>
        <v>0</v>
      </c>
      <c r="AL271" s="19">
        <f ca="1">(IF(MOD(AC271,($AE$15*12)),0,$AG271-IFERROR(SUM(OFFSET(AL270,,,-$AE$15*12)),0))-SUM($AL$28:AL270)*(Z272=0))*(Z271=1)</f>
        <v>0</v>
      </c>
      <c r="AM271" s="19">
        <f t="shared" si="107"/>
        <v>0</v>
      </c>
      <c r="AN271" s="19">
        <f t="shared" si="108"/>
        <v>0</v>
      </c>
      <c r="AP271" s="19">
        <f t="shared" ca="1" si="82"/>
        <v>0</v>
      </c>
      <c r="AQ271" s="18">
        <f t="shared" si="83"/>
        <v>0.42354116597618841</v>
      </c>
    </row>
    <row r="272" spans="3:43" x14ac:dyDescent="0.25">
      <c r="C272">
        <f t="shared" si="84"/>
        <v>244</v>
      </c>
      <c r="D272">
        <f t="shared" si="85"/>
        <v>20</v>
      </c>
      <c r="E272" s="12">
        <f t="shared" si="86"/>
        <v>53267</v>
      </c>
      <c r="F272" s="12"/>
      <c r="G272" s="15">
        <f t="shared" si="87"/>
        <v>0</v>
      </c>
      <c r="H272" s="15">
        <f t="shared" si="88"/>
        <v>0</v>
      </c>
      <c r="I272" s="15"/>
      <c r="J272" s="16">
        <f t="shared" si="89"/>
        <v>0</v>
      </c>
      <c r="K272" s="16">
        <f t="shared" si="90"/>
        <v>0</v>
      </c>
      <c r="L272">
        <f t="shared" si="91"/>
        <v>0</v>
      </c>
      <c r="M272">
        <f t="shared" si="92"/>
        <v>0</v>
      </c>
      <c r="N272" s="16">
        <f t="shared" si="93"/>
        <v>0</v>
      </c>
      <c r="O272" s="16"/>
      <c r="P272" s="17">
        <f t="shared" si="94"/>
        <v>0</v>
      </c>
      <c r="Q272">
        <f>Q271/(1+Assumptions!$E$8/12)</f>
        <v>0.4220464182449043</v>
      </c>
      <c r="S272" s="17">
        <f t="shared" si="95"/>
        <v>0</v>
      </c>
      <c r="T272" s="17">
        <f>T271*(1+$K$24)*Z272</f>
        <v>0</v>
      </c>
      <c r="U272" s="17">
        <f t="shared" si="96"/>
        <v>0</v>
      </c>
      <c r="V272" s="17">
        <f t="shared" si="97"/>
        <v>0</v>
      </c>
      <c r="W272" s="17">
        <f t="shared" si="98"/>
        <v>0</v>
      </c>
      <c r="Y272">
        <f>(MONTH(E272)=MONTH(Assumptions!$E$6))*(YEAR(Assumptions!$E$6)=YEAR('Rent v Mortgage'!E272))</f>
        <v>0</v>
      </c>
      <c r="Z272">
        <f>--(SUM($Y$28:Y271)&lt;1)*AA272</f>
        <v>0</v>
      </c>
      <c r="AA272">
        <f t="shared" si="99"/>
        <v>1</v>
      </c>
      <c r="AB272" s="20"/>
      <c r="AC272">
        <f t="shared" si="100"/>
        <v>244</v>
      </c>
      <c r="AD272">
        <f t="shared" si="101"/>
        <v>2045</v>
      </c>
      <c r="AE272" s="12">
        <f t="shared" si="102"/>
        <v>53267</v>
      </c>
      <c r="AG272" s="19">
        <f t="shared" si="103"/>
        <v>0</v>
      </c>
      <c r="AH272" s="19">
        <f t="shared" si="104"/>
        <v>0</v>
      </c>
      <c r="AI272" s="19">
        <f t="shared" si="105"/>
        <v>0</v>
      </c>
      <c r="AK272" s="19">
        <f t="shared" si="106"/>
        <v>0</v>
      </c>
      <c r="AL272" s="19">
        <f ca="1">(IF(MOD(AC272,($AE$15*12)),0,$AG272-IFERROR(SUM(OFFSET(AL271,,,-$AE$15*12)),0))-SUM($AL$28:AL271)*(Z273=0))*(Z272=1)</f>
        <v>0</v>
      </c>
      <c r="AM272" s="19">
        <f t="shared" si="107"/>
        <v>0</v>
      </c>
      <c r="AN272" s="19">
        <f t="shared" si="108"/>
        <v>0</v>
      </c>
      <c r="AP272" s="19">
        <f t="shared" ca="1" si="82"/>
        <v>0</v>
      </c>
      <c r="AQ272" s="18">
        <f t="shared" si="83"/>
        <v>0.4220464182449043</v>
      </c>
    </row>
    <row r="273" spans="3:43" x14ac:dyDescent="0.25">
      <c r="C273">
        <f t="shared" si="84"/>
        <v>245</v>
      </c>
      <c r="D273">
        <f t="shared" si="85"/>
        <v>20</v>
      </c>
      <c r="E273" s="12">
        <f t="shared" si="86"/>
        <v>53297</v>
      </c>
      <c r="F273" s="12"/>
      <c r="G273" s="15">
        <f t="shared" si="87"/>
        <v>0</v>
      </c>
      <c r="H273" s="15">
        <f t="shared" si="88"/>
        <v>0</v>
      </c>
      <c r="I273" s="15"/>
      <c r="J273" s="16">
        <f t="shared" si="89"/>
        <v>0</v>
      </c>
      <c r="K273" s="16">
        <f t="shared" si="90"/>
        <v>0</v>
      </c>
      <c r="L273">
        <f t="shared" si="91"/>
        <v>0</v>
      </c>
      <c r="M273">
        <f t="shared" si="92"/>
        <v>0</v>
      </c>
      <c r="N273" s="16">
        <f t="shared" si="93"/>
        <v>0</v>
      </c>
      <c r="O273" s="16"/>
      <c r="P273" s="17">
        <f t="shared" si="94"/>
        <v>0</v>
      </c>
      <c r="Q273">
        <f>Q272/(1+Assumptions!$E$8/12)</f>
        <v>0.42055694572878149</v>
      </c>
      <c r="S273" s="17">
        <f t="shared" si="95"/>
        <v>0</v>
      </c>
      <c r="T273" s="17">
        <f>T272*(1+$K$24)*Z273</f>
        <v>0</v>
      </c>
      <c r="U273" s="17">
        <f t="shared" si="96"/>
        <v>0</v>
      </c>
      <c r="V273" s="17">
        <f t="shared" si="97"/>
        <v>0</v>
      </c>
      <c r="W273" s="17">
        <f t="shared" si="98"/>
        <v>0</v>
      </c>
      <c r="Y273">
        <f>(MONTH(E273)=MONTH(Assumptions!$E$6))*(YEAR(Assumptions!$E$6)=YEAR('Rent v Mortgage'!E273))</f>
        <v>0</v>
      </c>
      <c r="Z273">
        <f>--(SUM($Y$28:Y272)&lt;1)*AA273</f>
        <v>0</v>
      </c>
      <c r="AA273">
        <f t="shared" si="99"/>
        <v>1</v>
      </c>
      <c r="AB273" s="20"/>
      <c r="AC273">
        <f t="shared" si="100"/>
        <v>245</v>
      </c>
      <c r="AD273">
        <f t="shared" si="101"/>
        <v>2045</v>
      </c>
      <c r="AE273" s="12">
        <f t="shared" si="102"/>
        <v>53297</v>
      </c>
      <c r="AG273" s="19">
        <f t="shared" si="103"/>
        <v>0</v>
      </c>
      <c r="AH273" s="19">
        <f t="shared" si="104"/>
        <v>0</v>
      </c>
      <c r="AI273" s="19">
        <f t="shared" si="105"/>
        <v>0</v>
      </c>
      <c r="AK273" s="19">
        <f t="shared" si="106"/>
        <v>0</v>
      </c>
      <c r="AL273" s="19">
        <f ca="1">(IF(MOD(AC273,($AE$15*12)),0,$AG273-IFERROR(SUM(OFFSET(AL272,,,-$AE$15*12)),0))-SUM($AL$28:AL272)*(Z274=0))*(Z273=1)</f>
        <v>0</v>
      </c>
      <c r="AM273" s="19">
        <f t="shared" si="107"/>
        <v>0</v>
      </c>
      <c r="AN273" s="19">
        <f t="shared" si="108"/>
        <v>0</v>
      </c>
      <c r="AP273" s="19">
        <f t="shared" ca="1" si="82"/>
        <v>0</v>
      </c>
      <c r="AQ273" s="18">
        <f t="shared" si="83"/>
        <v>0.42055694572878149</v>
      </c>
    </row>
    <row r="274" spans="3:43" x14ac:dyDescent="0.25">
      <c r="C274">
        <f t="shared" si="84"/>
        <v>246</v>
      </c>
      <c r="D274">
        <f t="shared" si="85"/>
        <v>20</v>
      </c>
      <c r="E274" s="12">
        <f t="shared" si="86"/>
        <v>53328</v>
      </c>
      <c r="F274" s="12"/>
      <c r="G274" s="15">
        <f t="shared" si="87"/>
        <v>0</v>
      </c>
      <c r="H274" s="15">
        <f t="shared" si="88"/>
        <v>0</v>
      </c>
      <c r="I274" s="15"/>
      <c r="J274" s="16">
        <f t="shared" si="89"/>
        <v>0</v>
      </c>
      <c r="K274" s="16">
        <f t="shared" si="90"/>
        <v>0</v>
      </c>
      <c r="L274">
        <f t="shared" si="91"/>
        <v>0</v>
      </c>
      <c r="M274">
        <f t="shared" si="92"/>
        <v>0</v>
      </c>
      <c r="N274" s="16">
        <f t="shared" si="93"/>
        <v>0</v>
      </c>
      <c r="O274" s="16"/>
      <c r="P274" s="17">
        <f t="shared" si="94"/>
        <v>0</v>
      </c>
      <c r="Q274">
        <f>Q273/(1+Assumptions!$E$8/12)</f>
        <v>0.41907272981070187</v>
      </c>
      <c r="S274" s="17">
        <f t="shared" si="95"/>
        <v>0</v>
      </c>
      <c r="T274" s="17">
        <f>T273*(1+$K$24)*Z274</f>
        <v>0</v>
      </c>
      <c r="U274" s="17">
        <f t="shared" si="96"/>
        <v>0</v>
      </c>
      <c r="V274" s="17">
        <f t="shared" si="97"/>
        <v>0</v>
      </c>
      <c r="W274" s="17">
        <f t="shared" si="98"/>
        <v>0</v>
      </c>
      <c r="Y274">
        <f>(MONTH(E274)=MONTH(Assumptions!$E$6))*(YEAR(Assumptions!$E$6)=YEAR('Rent v Mortgage'!E274))</f>
        <v>0</v>
      </c>
      <c r="Z274">
        <f>--(SUM($Y$28:Y273)&lt;1)*AA274</f>
        <v>0</v>
      </c>
      <c r="AA274">
        <f t="shared" si="99"/>
        <v>1</v>
      </c>
      <c r="AB274" s="20"/>
      <c r="AC274">
        <f t="shared" si="100"/>
        <v>246</v>
      </c>
      <c r="AD274">
        <f t="shared" si="101"/>
        <v>2046</v>
      </c>
      <c r="AE274" s="12">
        <f t="shared" si="102"/>
        <v>53328</v>
      </c>
      <c r="AG274" s="19">
        <f t="shared" si="103"/>
        <v>0</v>
      </c>
      <c r="AH274" s="19">
        <f t="shared" si="104"/>
        <v>0</v>
      </c>
      <c r="AI274" s="19">
        <f t="shared" si="105"/>
        <v>0</v>
      </c>
      <c r="AK274" s="19">
        <f t="shared" si="106"/>
        <v>0</v>
      </c>
      <c r="AL274" s="19">
        <f ca="1">(IF(MOD(AC274,($AE$15*12)),0,$AG274-IFERROR(SUM(OFFSET(AL273,,,-$AE$15*12)),0))-SUM($AL$28:AL273)*(Z275=0))*(Z274=1)</f>
        <v>0</v>
      </c>
      <c r="AM274" s="19">
        <f t="shared" si="107"/>
        <v>0</v>
      </c>
      <c r="AN274" s="19">
        <f t="shared" si="108"/>
        <v>0</v>
      </c>
      <c r="AP274" s="19">
        <f t="shared" ca="1" si="82"/>
        <v>0</v>
      </c>
      <c r="AQ274" s="18">
        <f t="shared" si="83"/>
        <v>0.41907272981070187</v>
      </c>
    </row>
    <row r="275" spans="3:43" x14ac:dyDescent="0.25">
      <c r="C275">
        <f t="shared" si="84"/>
        <v>247</v>
      </c>
      <c r="D275">
        <f t="shared" si="85"/>
        <v>20</v>
      </c>
      <c r="E275" s="12">
        <f t="shared" si="86"/>
        <v>53359</v>
      </c>
      <c r="F275" s="12"/>
      <c r="G275" s="15">
        <f t="shared" si="87"/>
        <v>0</v>
      </c>
      <c r="H275" s="15">
        <f t="shared" si="88"/>
        <v>0</v>
      </c>
      <c r="I275" s="15"/>
      <c r="J275" s="16">
        <f t="shared" si="89"/>
        <v>0</v>
      </c>
      <c r="K275" s="16">
        <f t="shared" si="90"/>
        <v>0</v>
      </c>
      <c r="L275">
        <f t="shared" si="91"/>
        <v>0</v>
      </c>
      <c r="M275">
        <f t="shared" si="92"/>
        <v>0</v>
      </c>
      <c r="N275" s="16">
        <f t="shared" si="93"/>
        <v>0</v>
      </c>
      <c r="O275" s="16"/>
      <c r="P275" s="17">
        <f t="shared" si="94"/>
        <v>0</v>
      </c>
      <c r="Q275">
        <f>Q274/(1+Assumptions!$E$8/12)</f>
        <v>0.4175937519392503</v>
      </c>
      <c r="S275" s="17">
        <f t="shared" si="95"/>
        <v>0</v>
      </c>
      <c r="T275" s="17">
        <f>T274*(1+$K$24)*Z275</f>
        <v>0</v>
      </c>
      <c r="U275" s="17">
        <f t="shared" si="96"/>
        <v>0</v>
      </c>
      <c r="V275" s="17">
        <f t="shared" si="97"/>
        <v>0</v>
      </c>
      <c r="W275" s="17">
        <f t="shared" si="98"/>
        <v>0</v>
      </c>
      <c r="Y275">
        <f>(MONTH(E275)=MONTH(Assumptions!$E$6))*(YEAR(Assumptions!$E$6)=YEAR('Rent v Mortgage'!E275))</f>
        <v>0</v>
      </c>
      <c r="Z275">
        <f>--(SUM($Y$28:Y274)&lt;1)*AA275</f>
        <v>0</v>
      </c>
      <c r="AA275">
        <f t="shared" si="99"/>
        <v>1</v>
      </c>
      <c r="AB275" s="20"/>
      <c r="AC275">
        <f t="shared" si="100"/>
        <v>247</v>
      </c>
      <c r="AD275">
        <f t="shared" si="101"/>
        <v>2046</v>
      </c>
      <c r="AE275" s="12">
        <f t="shared" si="102"/>
        <v>53359</v>
      </c>
      <c r="AG275" s="19">
        <f t="shared" si="103"/>
        <v>0</v>
      </c>
      <c r="AH275" s="19">
        <f t="shared" si="104"/>
        <v>0</v>
      </c>
      <c r="AI275" s="19">
        <f t="shared" si="105"/>
        <v>0</v>
      </c>
      <c r="AK275" s="19">
        <f t="shared" si="106"/>
        <v>0</v>
      </c>
      <c r="AL275" s="19">
        <f ca="1">(IF(MOD(AC275,($AE$15*12)),0,$AG275-IFERROR(SUM(OFFSET(AL274,,,-$AE$15*12)),0))-SUM($AL$28:AL274)*(Z276=0))*(Z275=1)</f>
        <v>0</v>
      </c>
      <c r="AM275" s="19">
        <f t="shared" si="107"/>
        <v>0</v>
      </c>
      <c r="AN275" s="19">
        <f t="shared" si="108"/>
        <v>0</v>
      </c>
      <c r="AP275" s="19">
        <f t="shared" ca="1" si="82"/>
        <v>0</v>
      </c>
      <c r="AQ275" s="18">
        <f t="shared" si="83"/>
        <v>0.4175937519392503</v>
      </c>
    </row>
    <row r="276" spans="3:43" x14ac:dyDescent="0.25">
      <c r="C276">
        <f t="shared" si="84"/>
        <v>248</v>
      </c>
      <c r="D276">
        <f t="shared" si="85"/>
        <v>20</v>
      </c>
      <c r="E276" s="12">
        <f t="shared" si="86"/>
        <v>53387</v>
      </c>
      <c r="F276" s="12"/>
      <c r="G276" s="15">
        <f t="shared" si="87"/>
        <v>0</v>
      </c>
      <c r="H276" s="15">
        <f t="shared" si="88"/>
        <v>0</v>
      </c>
      <c r="I276" s="15"/>
      <c r="J276" s="16">
        <f t="shared" si="89"/>
        <v>0</v>
      </c>
      <c r="K276" s="16">
        <f t="shared" si="90"/>
        <v>0</v>
      </c>
      <c r="L276">
        <f t="shared" si="91"/>
        <v>0</v>
      </c>
      <c r="M276">
        <f t="shared" si="92"/>
        <v>0</v>
      </c>
      <c r="N276" s="16">
        <f t="shared" si="93"/>
        <v>0</v>
      </c>
      <c r="O276" s="16"/>
      <c r="P276" s="17">
        <f t="shared" si="94"/>
        <v>0</v>
      </c>
      <c r="Q276">
        <f>Q275/(1+Assumptions!$E$8/12)</f>
        <v>0.41611999362848273</v>
      </c>
      <c r="S276" s="17">
        <f t="shared" si="95"/>
        <v>0</v>
      </c>
      <c r="T276" s="17">
        <f>T275*(1+$K$24)*Z276</f>
        <v>0</v>
      </c>
      <c r="U276" s="17">
        <f t="shared" si="96"/>
        <v>0</v>
      </c>
      <c r="V276" s="17">
        <f t="shared" si="97"/>
        <v>0</v>
      </c>
      <c r="W276" s="17">
        <f t="shared" si="98"/>
        <v>0</v>
      </c>
      <c r="Y276">
        <f>(MONTH(E276)=MONTH(Assumptions!$E$6))*(YEAR(Assumptions!$E$6)=YEAR('Rent v Mortgage'!E276))</f>
        <v>0</v>
      </c>
      <c r="Z276">
        <f>--(SUM($Y$28:Y275)&lt;1)*AA276</f>
        <v>0</v>
      </c>
      <c r="AA276">
        <f t="shared" si="99"/>
        <v>1</v>
      </c>
      <c r="AB276" s="20"/>
      <c r="AC276">
        <f t="shared" si="100"/>
        <v>248</v>
      </c>
      <c r="AD276">
        <f t="shared" si="101"/>
        <v>2046</v>
      </c>
      <c r="AE276" s="12">
        <f t="shared" si="102"/>
        <v>53387</v>
      </c>
      <c r="AG276" s="19">
        <f t="shared" si="103"/>
        <v>0</v>
      </c>
      <c r="AH276" s="19">
        <f t="shared" si="104"/>
        <v>0</v>
      </c>
      <c r="AI276" s="19">
        <f t="shared" si="105"/>
        <v>0</v>
      </c>
      <c r="AK276" s="19">
        <f t="shared" si="106"/>
        <v>0</v>
      </c>
      <c r="AL276" s="19">
        <f ca="1">(IF(MOD(AC276,($AE$15*12)),0,$AG276-IFERROR(SUM(OFFSET(AL275,,,-$AE$15*12)),0))-SUM($AL$28:AL275)*(Z277=0))*(Z276=1)</f>
        <v>0</v>
      </c>
      <c r="AM276" s="19">
        <f t="shared" si="107"/>
        <v>0</v>
      </c>
      <c r="AN276" s="19">
        <f t="shared" si="108"/>
        <v>0</v>
      </c>
      <c r="AP276" s="19">
        <f t="shared" ca="1" si="82"/>
        <v>0</v>
      </c>
      <c r="AQ276" s="18">
        <f t="shared" si="83"/>
        <v>0.41611999362848273</v>
      </c>
    </row>
    <row r="277" spans="3:43" x14ac:dyDescent="0.25">
      <c r="C277">
        <f t="shared" si="84"/>
        <v>249</v>
      </c>
      <c r="D277">
        <f t="shared" si="85"/>
        <v>20</v>
      </c>
      <c r="E277" s="12">
        <f t="shared" si="86"/>
        <v>53418</v>
      </c>
      <c r="F277" s="12"/>
      <c r="G277" s="15">
        <f t="shared" si="87"/>
        <v>0</v>
      </c>
      <c r="H277" s="15">
        <f t="shared" si="88"/>
        <v>0</v>
      </c>
      <c r="I277" s="15"/>
      <c r="J277" s="16">
        <f t="shared" si="89"/>
        <v>0</v>
      </c>
      <c r="K277" s="16">
        <f t="shared" si="90"/>
        <v>0</v>
      </c>
      <c r="L277">
        <f t="shared" si="91"/>
        <v>0</v>
      </c>
      <c r="M277">
        <f t="shared" si="92"/>
        <v>0</v>
      </c>
      <c r="N277" s="16">
        <f t="shared" si="93"/>
        <v>0</v>
      </c>
      <c r="O277" s="16"/>
      <c r="P277" s="17">
        <f t="shared" si="94"/>
        <v>0</v>
      </c>
      <c r="Q277">
        <f>Q276/(1+Assumptions!$E$8/12)</f>
        <v>0.41465143645769503</v>
      </c>
      <c r="S277" s="17">
        <f t="shared" si="95"/>
        <v>0</v>
      </c>
      <c r="T277" s="17">
        <f>T276*(1+$K$24)*Z277</f>
        <v>0</v>
      </c>
      <c r="U277" s="17">
        <f t="shared" si="96"/>
        <v>0</v>
      </c>
      <c r="V277" s="17">
        <f t="shared" si="97"/>
        <v>0</v>
      </c>
      <c r="W277" s="17">
        <f t="shared" si="98"/>
        <v>0</v>
      </c>
      <c r="Y277">
        <f>(MONTH(E277)=MONTH(Assumptions!$E$6))*(YEAR(Assumptions!$E$6)=YEAR('Rent v Mortgage'!E277))</f>
        <v>0</v>
      </c>
      <c r="Z277">
        <f>--(SUM($Y$28:Y276)&lt;1)*AA277</f>
        <v>0</v>
      </c>
      <c r="AA277">
        <f t="shared" si="99"/>
        <v>1</v>
      </c>
      <c r="AB277" s="20"/>
      <c r="AC277">
        <f t="shared" si="100"/>
        <v>249</v>
      </c>
      <c r="AD277">
        <f t="shared" si="101"/>
        <v>2046</v>
      </c>
      <c r="AE277" s="12">
        <f t="shared" si="102"/>
        <v>53418</v>
      </c>
      <c r="AG277" s="19">
        <f t="shared" si="103"/>
        <v>0</v>
      </c>
      <c r="AH277" s="19">
        <f t="shared" si="104"/>
        <v>0</v>
      </c>
      <c r="AI277" s="19">
        <f t="shared" si="105"/>
        <v>0</v>
      </c>
      <c r="AK277" s="19">
        <f t="shared" si="106"/>
        <v>0</v>
      </c>
      <c r="AL277" s="19">
        <f ca="1">(IF(MOD(AC277,($AE$15*12)),0,$AG277-IFERROR(SUM(OFFSET(AL276,,,-$AE$15*12)),0))-SUM($AL$28:AL276)*(Z278=0))*(Z277=1)</f>
        <v>0</v>
      </c>
      <c r="AM277" s="19">
        <f t="shared" si="107"/>
        <v>0</v>
      </c>
      <c r="AN277" s="19">
        <f t="shared" si="108"/>
        <v>0</v>
      </c>
      <c r="AP277" s="19">
        <f t="shared" ca="1" si="82"/>
        <v>0</v>
      </c>
      <c r="AQ277" s="18">
        <f t="shared" si="83"/>
        <v>0.41465143645769503</v>
      </c>
    </row>
    <row r="278" spans="3:43" x14ac:dyDescent="0.25">
      <c r="C278">
        <f t="shared" si="84"/>
        <v>250</v>
      </c>
      <c r="D278">
        <f t="shared" si="85"/>
        <v>20</v>
      </c>
      <c r="E278" s="12">
        <f t="shared" si="86"/>
        <v>53448</v>
      </c>
      <c r="F278" s="12"/>
      <c r="G278" s="15">
        <f t="shared" si="87"/>
        <v>0</v>
      </c>
      <c r="H278" s="15">
        <f t="shared" si="88"/>
        <v>0</v>
      </c>
      <c r="I278" s="15"/>
      <c r="J278" s="16">
        <f t="shared" si="89"/>
        <v>0</v>
      </c>
      <c r="K278" s="16">
        <f t="shared" si="90"/>
        <v>0</v>
      </c>
      <c r="L278">
        <f t="shared" si="91"/>
        <v>0</v>
      </c>
      <c r="M278">
        <f t="shared" si="92"/>
        <v>0</v>
      </c>
      <c r="N278" s="16">
        <f t="shared" si="93"/>
        <v>0</v>
      </c>
      <c r="O278" s="16"/>
      <c r="P278" s="17">
        <f t="shared" si="94"/>
        <v>0</v>
      </c>
      <c r="Q278">
        <f>Q277/(1+Assumptions!$E$8/12)</f>
        <v>0.41318806207119285</v>
      </c>
      <c r="S278" s="17">
        <f t="shared" si="95"/>
        <v>0</v>
      </c>
      <c r="T278" s="17">
        <f>T277*(1+$K$24)*Z278</f>
        <v>0</v>
      </c>
      <c r="U278" s="17">
        <f t="shared" si="96"/>
        <v>0</v>
      </c>
      <c r="V278" s="17">
        <f t="shared" si="97"/>
        <v>0</v>
      </c>
      <c r="W278" s="17">
        <f t="shared" si="98"/>
        <v>0</v>
      </c>
      <c r="Y278">
        <f>(MONTH(E278)=MONTH(Assumptions!$E$6))*(YEAR(Assumptions!$E$6)=YEAR('Rent v Mortgage'!E278))</f>
        <v>0</v>
      </c>
      <c r="Z278">
        <f>--(SUM($Y$28:Y277)&lt;1)*AA278</f>
        <v>0</v>
      </c>
      <c r="AA278">
        <f t="shared" si="99"/>
        <v>1</v>
      </c>
      <c r="AB278" s="20"/>
      <c r="AC278">
        <f t="shared" si="100"/>
        <v>250</v>
      </c>
      <c r="AD278">
        <f t="shared" si="101"/>
        <v>2046</v>
      </c>
      <c r="AE278" s="12">
        <f t="shared" si="102"/>
        <v>53448</v>
      </c>
      <c r="AG278" s="19">
        <f t="shared" si="103"/>
        <v>0</v>
      </c>
      <c r="AH278" s="19">
        <f t="shared" si="104"/>
        <v>0</v>
      </c>
      <c r="AI278" s="19">
        <f t="shared" si="105"/>
        <v>0</v>
      </c>
      <c r="AK278" s="19">
        <f t="shared" si="106"/>
        <v>0</v>
      </c>
      <c r="AL278" s="19">
        <f ca="1">(IF(MOD(AC278,($AE$15*12)),0,$AG278-IFERROR(SUM(OFFSET(AL277,,,-$AE$15*12)),0))-SUM($AL$28:AL277)*(Z279=0))*(Z278=1)</f>
        <v>0</v>
      </c>
      <c r="AM278" s="19">
        <f t="shared" si="107"/>
        <v>0</v>
      </c>
      <c r="AN278" s="19">
        <f t="shared" si="108"/>
        <v>0</v>
      </c>
      <c r="AP278" s="19">
        <f t="shared" ca="1" si="82"/>
        <v>0</v>
      </c>
      <c r="AQ278" s="18">
        <f t="shared" si="83"/>
        <v>0.41318806207119285</v>
      </c>
    </row>
    <row r="279" spans="3:43" x14ac:dyDescent="0.25">
      <c r="C279">
        <f t="shared" si="84"/>
        <v>251</v>
      </c>
      <c r="D279">
        <f t="shared" si="85"/>
        <v>20</v>
      </c>
      <c r="E279" s="12">
        <f t="shared" si="86"/>
        <v>53479</v>
      </c>
      <c r="F279" s="12"/>
      <c r="G279" s="15">
        <f t="shared" si="87"/>
        <v>0</v>
      </c>
      <c r="H279" s="15">
        <f t="shared" si="88"/>
        <v>0</v>
      </c>
      <c r="I279" s="15"/>
      <c r="J279" s="16">
        <f t="shared" si="89"/>
        <v>0</v>
      </c>
      <c r="K279" s="16">
        <f t="shared" si="90"/>
        <v>0</v>
      </c>
      <c r="L279">
        <f t="shared" si="91"/>
        <v>0</v>
      </c>
      <c r="M279">
        <f t="shared" si="92"/>
        <v>0</v>
      </c>
      <c r="N279" s="16">
        <f t="shared" si="93"/>
        <v>0</v>
      </c>
      <c r="O279" s="16"/>
      <c r="P279" s="17">
        <f t="shared" si="94"/>
        <v>0</v>
      </c>
      <c r="Q279">
        <f>Q278/(1+Assumptions!$E$8/12)</f>
        <v>0.41172985217806218</v>
      </c>
      <c r="S279" s="17">
        <f t="shared" si="95"/>
        <v>0</v>
      </c>
      <c r="T279" s="17">
        <f>T278*(1+$K$24)*Z279</f>
        <v>0</v>
      </c>
      <c r="U279" s="17">
        <f t="shared" si="96"/>
        <v>0</v>
      </c>
      <c r="V279" s="17">
        <f t="shared" si="97"/>
        <v>0</v>
      </c>
      <c r="W279" s="17">
        <f t="shared" si="98"/>
        <v>0</v>
      </c>
      <c r="Y279">
        <f>(MONTH(E279)=MONTH(Assumptions!$E$6))*(YEAR(Assumptions!$E$6)=YEAR('Rent v Mortgage'!E279))</f>
        <v>0</v>
      </c>
      <c r="Z279">
        <f>--(SUM($Y$28:Y278)&lt;1)*AA279</f>
        <v>0</v>
      </c>
      <c r="AA279">
        <f t="shared" si="99"/>
        <v>1</v>
      </c>
      <c r="AB279" s="20"/>
      <c r="AC279">
        <f t="shared" si="100"/>
        <v>251</v>
      </c>
      <c r="AD279">
        <f t="shared" si="101"/>
        <v>2046</v>
      </c>
      <c r="AE279" s="12">
        <f t="shared" si="102"/>
        <v>53479</v>
      </c>
      <c r="AG279" s="19">
        <f t="shared" si="103"/>
        <v>0</v>
      </c>
      <c r="AH279" s="19">
        <f t="shared" si="104"/>
        <v>0</v>
      </c>
      <c r="AI279" s="19">
        <f t="shared" si="105"/>
        <v>0</v>
      </c>
      <c r="AK279" s="19">
        <f t="shared" si="106"/>
        <v>0</v>
      </c>
      <c r="AL279" s="19">
        <f ca="1">(IF(MOD(AC279,($AE$15*12)),0,$AG279-IFERROR(SUM(OFFSET(AL278,,,-$AE$15*12)),0))-SUM($AL$28:AL278)*(Z280=0))*(Z279=1)</f>
        <v>0</v>
      </c>
      <c r="AM279" s="19">
        <f t="shared" si="107"/>
        <v>0</v>
      </c>
      <c r="AN279" s="19">
        <f t="shared" si="108"/>
        <v>0</v>
      </c>
      <c r="AP279" s="19">
        <f t="shared" ca="1" si="82"/>
        <v>0</v>
      </c>
      <c r="AQ279" s="18">
        <f t="shared" si="83"/>
        <v>0.41172985217806218</v>
      </c>
    </row>
    <row r="280" spans="3:43" x14ac:dyDescent="0.25">
      <c r="C280">
        <f t="shared" si="84"/>
        <v>252</v>
      </c>
      <c r="D280">
        <f t="shared" si="85"/>
        <v>21</v>
      </c>
      <c r="E280" s="12">
        <f t="shared" si="86"/>
        <v>53509</v>
      </c>
      <c r="F280" s="12"/>
      <c r="G280" s="15">
        <f t="shared" si="87"/>
        <v>0</v>
      </c>
      <c r="H280" s="15">
        <f t="shared" si="88"/>
        <v>0</v>
      </c>
      <c r="I280" s="15"/>
      <c r="J280" s="16">
        <f t="shared" si="89"/>
        <v>0</v>
      </c>
      <c r="K280" s="16">
        <f t="shared" si="90"/>
        <v>0</v>
      </c>
      <c r="L280">
        <f t="shared" si="91"/>
        <v>0</v>
      </c>
      <c r="M280">
        <f t="shared" si="92"/>
        <v>0</v>
      </c>
      <c r="N280" s="16">
        <f t="shared" si="93"/>
        <v>0</v>
      </c>
      <c r="O280" s="16"/>
      <c r="P280" s="17">
        <f t="shared" si="94"/>
        <v>0</v>
      </c>
      <c r="Q280">
        <f>Q279/(1+Assumptions!$E$8/12)</f>
        <v>0.41027678855194066</v>
      </c>
      <c r="S280" s="17">
        <f t="shared" si="95"/>
        <v>0</v>
      </c>
      <c r="T280" s="17">
        <f>T279*(1+$K$24)*Z280</f>
        <v>0</v>
      </c>
      <c r="U280" s="17">
        <f t="shared" si="96"/>
        <v>0</v>
      </c>
      <c r="V280" s="17">
        <f t="shared" si="97"/>
        <v>0</v>
      </c>
      <c r="W280" s="17">
        <f t="shared" si="98"/>
        <v>0</v>
      </c>
      <c r="Y280">
        <f>(MONTH(E280)=MONTH(Assumptions!$E$6))*(YEAR(Assumptions!$E$6)=YEAR('Rent v Mortgage'!E280))</f>
        <v>0</v>
      </c>
      <c r="Z280">
        <f>--(SUM($Y$28:Y279)&lt;1)*AA280</f>
        <v>0</v>
      </c>
      <c r="AA280">
        <f t="shared" si="99"/>
        <v>1</v>
      </c>
      <c r="AB280" s="20"/>
      <c r="AC280">
        <f t="shared" si="100"/>
        <v>252</v>
      </c>
      <c r="AD280">
        <f t="shared" si="101"/>
        <v>2046</v>
      </c>
      <c r="AE280" s="12">
        <f t="shared" si="102"/>
        <v>53509</v>
      </c>
      <c r="AG280" s="19">
        <f t="shared" si="103"/>
        <v>0</v>
      </c>
      <c r="AH280" s="19">
        <f t="shared" si="104"/>
        <v>0</v>
      </c>
      <c r="AI280" s="19">
        <f t="shared" si="105"/>
        <v>0</v>
      </c>
      <c r="AK280" s="19">
        <f t="shared" si="106"/>
        <v>0</v>
      </c>
      <c r="AL280" s="19">
        <f ca="1">(IF(MOD(AC280,($AE$15*12)),0,$AG280-IFERROR(SUM(OFFSET(AL279,,,-$AE$15*12)),0))-SUM($AL$28:AL279)*(Z281=0))*(Z280=1)</f>
        <v>0</v>
      </c>
      <c r="AM280" s="19">
        <f t="shared" si="107"/>
        <v>0</v>
      </c>
      <c r="AN280" s="19">
        <f t="shared" si="108"/>
        <v>0</v>
      </c>
      <c r="AP280" s="19">
        <f t="shared" ca="1" si="82"/>
        <v>0</v>
      </c>
      <c r="AQ280" s="18">
        <f t="shared" si="83"/>
        <v>0.41027678855194066</v>
      </c>
    </row>
    <row r="281" spans="3:43" x14ac:dyDescent="0.25">
      <c r="C281">
        <f t="shared" si="84"/>
        <v>253</v>
      </c>
      <c r="D281">
        <f t="shared" si="85"/>
        <v>21</v>
      </c>
      <c r="E281" s="12">
        <f t="shared" si="86"/>
        <v>53540</v>
      </c>
      <c r="F281" s="12"/>
      <c r="G281" s="15">
        <f t="shared" si="87"/>
        <v>0</v>
      </c>
      <c r="H281" s="15">
        <f t="shared" si="88"/>
        <v>0</v>
      </c>
      <c r="I281" s="15"/>
      <c r="J281" s="16">
        <f t="shared" si="89"/>
        <v>0</v>
      </c>
      <c r="K281" s="16">
        <f t="shared" si="90"/>
        <v>0</v>
      </c>
      <c r="L281">
        <f t="shared" si="91"/>
        <v>0</v>
      </c>
      <c r="M281">
        <f t="shared" si="92"/>
        <v>0</v>
      </c>
      <c r="N281" s="16">
        <f t="shared" si="93"/>
        <v>0</v>
      </c>
      <c r="O281" s="16"/>
      <c r="P281" s="17">
        <f t="shared" si="94"/>
        <v>0</v>
      </c>
      <c r="Q281">
        <f>Q280/(1+Assumptions!$E$8/12)</f>
        <v>0.40882885303078992</v>
      </c>
      <c r="S281" s="17">
        <f t="shared" si="95"/>
        <v>0</v>
      </c>
      <c r="T281" s="17">
        <f>T280*(1+$K$24)*Z281</f>
        <v>0</v>
      </c>
      <c r="U281" s="17">
        <f t="shared" si="96"/>
        <v>0</v>
      </c>
      <c r="V281" s="17">
        <f t="shared" si="97"/>
        <v>0</v>
      </c>
      <c r="W281" s="17">
        <f t="shared" si="98"/>
        <v>0</v>
      </c>
      <c r="Y281">
        <f>(MONTH(E281)=MONTH(Assumptions!$E$6))*(YEAR(Assumptions!$E$6)=YEAR('Rent v Mortgage'!E281))</f>
        <v>0</v>
      </c>
      <c r="Z281">
        <f>--(SUM($Y$28:Y280)&lt;1)*AA281</f>
        <v>0</v>
      </c>
      <c r="AA281">
        <f t="shared" si="99"/>
        <v>1</v>
      </c>
      <c r="AB281" s="20"/>
      <c r="AC281">
        <f t="shared" si="100"/>
        <v>253</v>
      </c>
      <c r="AD281">
        <f t="shared" si="101"/>
        <v>2046</v>
      </c>
      <c r="AE281" s="12">
        <f t="shared" si="102"/>
        <v>53540</v>
      </c>
      <c r="AG281" s="19">
        <f t="shared" si="103"/>
        <v>0</v>
      </c>
      <c r="AH281" s="19">
        <f t="shared" si="104"/>
        <v>0</v>
      </c>
      <c r="AI281" s="19">
        <f t="shared" si="105"/>
        <v>0</v>
      </c>
      <c r="AK281" s="19">
        <f t="shared" si="106"/>
        <v>0</v>
      </c>
      <c r="AL281" s="19">
        <f ca="1">(IF(MOD(AC281,($AE$15*12)),0,$AG281-IFERROR(SUM(OFFSET(AL280,,,-$AE$15*12)),0))-SUM($AL$28:AL280)*(Z282=0))*(Z281=1)</f>
        <v>0</v>
      </c>
      <c r="AM281" s="19">
        <f t="shared" si="107"/>
        <v>0</v>
      </c>
      <c r="AN281" s="19">
        <f t="shared" si="108"/>
        <v>0</v>
      </c>
      <c r="AP281" s="19">
        <f t="shared" ca="1" si="82"/>
        <v>0</v>
      </c>
      <c r="AQ281" s="18">
        <f t="shared" si="83"/>
        <v>0.40882885303078992</v>
      </c>
    </row>
    <row r="282" spans="3:43" x14ac:dyDescent="0.25">
      <c r="C282">
        <f t="shared" si="84"/>
        <v>254</v>
      </c>
      <c r="D282">
        <f t="shared" si="85"/>
        <v>21</v>
      </c>
      <c r="E282" s="12">
        <f t="shared" si="86"/>
        <v>53571</v>
      </c>
      <c r="F282" s="12"/>
      <c r="G282" s="15">
        <f t="shared" si="87"/>
        <v>0</v>
      </c>
      <c r="H282" s="15">
        <f t="shared" si="88"/>
        <v>0</v>
      </c>
      <c r="I282" s="15"/>
      <c r="J282" s="16">
        <f t="shared" si="89"/>
        <v>0</v>
      </c>
      <c r="K282" s="16">
        <f t="shared" si="90"/>
        <v>0</v>
      </c>
      <c r="L282">
        <f t="shared" si="91"/>
        <v>0</v>
      </c>
      <c r="M282">
        <f t="shared" si="92"/>
        <v>0</v>
      </c>
      <c r="N282" s="16">
        <f t="shared" si="93"/>
        <v>0</v>
      </c>
      <c r="O282" s="16"/>
      <c r="P282" s="17">
        <f t="shared" si="94"/>
        <v>0</v>
      </c>
      <c r="Q282">
        <f>Q281/(1+Assumptions!$E$8/12)</f>
        <v>0.40738602751666836</v>
      </c>
      <c r="S282" s="17">
        <f t="shared" si="95"/>
        <v>0</v>
      </c>
      <c r="T282" s="17">
        <f>T281*(1+$K$24)*Z282</f>
        <v>0</v>
      </c>
      <c r="U282" s="17">
        <f t="shared" si="96"/>
        <v>0</v>
      </c>
      <c r="V282" s="17">
        <f t="shared" si="97"/>
        <v>0</v>
      </c>
      <c r="W282" s="17">
        <f t="shared" si="98"/>
        <v>0</v>
      </c>
      <c r="Y282">
        <f>(MONTH(E282)=MONTH(Assumptions!$E$6))*(YEAR(Assumptions!$E$6)=YEAR('Rent v Mortgage'!E282))</f>
        <v>0</v>
      </c>
      <c r="Z282">
        <f>--(SUM($Y$28:Y281)&lt;1)*AA282</f>
        <v>0</v>
      </c>
      <c r="AA282">
        <f t="shared" si="99"/>
        <v>1</v>
      </c>
      <c r="AB282" s="20"/>
      <c r="AC282">
        <f t="shared" si="100"/>
        <v>254</v>
      </c>
      <c r="AD282">
        <f t="shared" si="101"/>
        <v>2046</v>
      </c>
      <c r="AE282" s="12">
        <f t="shared" si="102"/>
        <v>53571</v>
      </c>
      <c r="AG282" s="19">
        <f t="shared" si="103"/>
        <v>0</v>
      </c>
      <c r="AH282" s="19">
        <f t="shared" si="104"/>
        <v>0</v>
      </c>
      <c r="AI282" s="19">
        <f t="shared" si="105"/>
        <v>0</v>
      </c>
      <c r="AK282" s="19">
        <f t="shared" si="106"/>
        <v>0</v>
      </c>
      <c r="AL282" s="19">
        <f ca="1">(IF(MOD(AC282,($AE$15*12)),0,$AG282-IFERROR(SUM(OFFSET(AL281,,,-$AE$15*12)),0))-SUM($AL$28:AL281)*(Z283=0))*(Z282=1)</f>
        <v>0</v>
      </c>
      <c r="AM282" s="19">
        <f t="shared" si="107"/>
        <v>0</v>
      </c>
      <c r="AN282" s="19">
        <f t="shared" si="108"/>
        <v>0</v>
      </c>
      <c r="AP282" s="19">
        <f t="shared" ca="1" si="82"/>
        <v>0</v>
      </c>
      <c r="AQ282" s="18">
        <f t="shared" si="83"/>
        <v>0.40738602751666836</v>
      </c>
    </row>
    <row r="283" spans="3:43" x14ac:dyDescent="0.25">
      <c r="C283">
        <f t="shared" si="84"/>
        <v>255</v>
      </c>
      <c r="D283">
        <f t="shared" si="85"/>
        <v>21</v>
      </c>
      <c r="E283" s="12">
        <f t="shared" si="86"/>
        <v>53601</v>
      </c>
      <c r="F283" s="12"/>
      <c r="G283" s="15">
        <f t="shared" si="87"/>
        <v>0</v>
      </c>
      <c r="H283" s="15">
        <f t="shared" si="88"/>
        <v>0</v>
      </c>
      <c r="I283" s="15"/>
      <c r="J283" s="16">
        <f t="shared" si="89"/>
        <v>0</v>
      </c>
      <c r="K283" s="16">
        <f t="shared" si="90"/>
        <v>0</v>
      </c>
      <c r="L283">
        <f t="shared" si="91"/>
        <v>0</v>
      </c>
      <c r="M283">
        <f t="shared" si="92"/>
        <v>0</v>
      </c>
      <c r="N283" s="16">
        <f t="shared" si="93"/>
        <v>0</v>
      </c>
      <c r="O283" s="16"/>
      <c r="P283" s="17">
        <f t="shared" si="94"/>
        <v>0</v>
      </c>
      <c r="Q283">
        <f>Q282/(1+Assumptions!$E$8/12)</f>
        <v>0.40594829397550508</v>
      </c>
      <c r="S283" s="17">
        <f t="shared" si="95"/>
        <v>0</v>
      </c>
      <c r="T283" s="17">
        <f>T282*(1+$K$24)*Z283</f>
        <v>0</v>
      </c>
      <c r="U283" s="17">
        <f t="shared" si="96"/>
        <v>0</v>
      </c>
      <c r="V283" s="17">
        <f t="shared" si="97"/>
        <v>0</v>
      </c>
      <c r="W283" s="17">
        <f t="shared" si="98"/>
        <v>0</v>
      </c>
      <c r="Y283">
        <f>(MONTH(E283)=MONTH(Assumptions!$E$6))*(YEAR(Assumptions!$E$6)=YEAR('Rent v Mortgage'!E283))</f>
        <v>0</v>
      </c>
      <c r="Z283">
        <f>--(SUM($Y$28:Y282)&lt;1)*AA283</f>
        <v>0</v>
      </c>
      <c r="AA283">
        <f t="shared" si="99"/>
        <v>1</v>
      </c>
      <c r="AB283" s="20"/>
      <c r="AC283">
        <f t="shared" si="100"/>
        <v>255</v>
      </c>
      <c r="AD283">
        <f t="shared" si="101"/>
        <v>2046</v>
      </c>
      <c r="AE283" s="12">
        <f t="shared" si="102"/>
        <v>53601</v>
      </c>
      <c r="AG283" s="19">
        <f t="shared" si="103"/>
        <v>0</v>
      </c>
      <c r="AH283" s="19">
        <f t="shared" si="104"/>
        <v>0</v>
      </c>
      <c r="AI283" s="19">
        <f t="shared" si="105"/>
        <v>0</v>
      </c>
      <c r="AK283" s="19">
        <f t="shared" si="106"/>
        <v>0</v>
      </c>
      <c r="AL283" s="19">
        <f ca="1">(IF(MOD(AC283,($AE$15*12)),0,$AG283-IFERROR(SUM(OFFSET(AL282,,,-$AE$15*12)),0))-SUM($AL$28:AL282)*(Z284=0))*(Z283=1)</f>
        <v>0</v>
      </c>
      <c r="AM283" s="19">
        <f t="shared" si="107"/>
        <v>0</v>
      </c>
      <c r="AN283" s="19">
        <f t="shared" si="108"/>
        <v>0</v>
      </c>
      <c r="AP283" s="19">
        <f t="shared" ca="1" si="82"/>
        <v>0</v>
      </c>
      <c r="AQ283" s="18">
        <f t="shared" si="83"/>
        <v>0.40594829397550508</v>
      </c>
    </row>
    <row r="284" spans="3:43" x14ac:dyDescent="0.25">
      <c r="C284">
        <f t="shared" si="84"/>
        <v>256</v>
      </c>
      <c r="D284">
        <f t="shared" si="85"/>
        <v>21</v>
      </c>
      <c r="E284" s="12">
        <f t="shared" si="86"/>
        <v>53632</v>
      </c>
      <c r="F284" s="12"/>
      <c r="G284" s="15">
        <f t="shared" si="87"/>
        <v>0</v>
      </c>
      <c r="H284" s="15">
        <f t="shared" si="88"/>
        <v>0</v>
      </c>
      <c r="I284" s="15"/>
      <c r="J284" s="16">
        <f t="shared" si="89"/>
        <v>0</v>
      </c>
      <c r="K284" s="16">
        <f t="shared" si="90"/>
        <v>0</v>
      </c>
      <c r="L284">
        <f t="shared" si="91"/>
        <v>0</v>
      </c>
      <c r="M284">
        <f t="shared" si="92"/>
        <v>0</v>
      </c>
      <c r="N284" s="16">
        <f t="shared" si="93"/>
        <v>0</v>
      </c>
      <c r="O284" s="16"/>
      <c r="P284" s="17">
        <f t="shared" si="94"/>
        <v>0</v>
      </c>
      <c r="Q284">
        <f>Q283/(1+Assumptions!$E$8/12)</f>
        <v>0.40451563443687444</v>
      </c>
      <c r="S284" s="17">
        <f t="shared" si="95"/>
        <v>0</v>
      </c>
      <c r="T284" s="17">
        <f>T283*(1+$K$24)*Z284</f>
        <v>0</v>
      </c>
      <c r="U284" s="17">
        <f t="shared" si="96"/>
        <v>0</v>
      </c>
      <c r="V284" s="17">
        <f t="shared" si="97"/>
        <v>0</v>
      </c>
      <c r="W284" s="17">
        <f t="shared" si="98"/>
        <v>0</v>
      </c>
      <c r="Y284">
        <f>(MONTH(E284)=MONTH(Assumptions!$E$6))*(YEAR(Assumptions!$E$6)=YEAR('Rent v Mortgage'!E284))</f>
        <v>0</v>
      </c>
      <c r="Z284">
        <f>--(SUM($Y$28:Y283)&lt;1)*AA284</f>
        <v>0</v>
      </c>
      <c r="AA284">
        <f t="shared" si="99"/>
        <v>1</v>
      </c>
      <c r="AB284" s="20"/>
      <c r="AC284">
        <f t="shared" si="100"/>
        <v>256</v>
      </c>
      <c r="AD284">
        <f t="shared" si="101"/>
        <v>2046</v>
      </c>
      <c r="AE284" s="12">
        <f t="shared" si="102"/>
        <v>53632</v>
      </c>
      <c r="AG284" s="19">
        <f t="shared" si="103"/>
        <v>0</v>
      </c>
      <c r="AH284" s="19">
        <f t="shared" si="104"/>
        <v>0</v>
      </c>
      <c r="AI284" s="19">
        <f t="shared" si="105"/>
        <v>0</v>
      </c>
      <c r="AK284" s="19">
        <f t="shared" si="106"/>
        <v>0</v>
      </c>
      <c r="AL284" s="19">
        <f ca="1">(IF(MOD(AC284,($AE$15*12)),0,$AG284-IFERROR(SUM(OFFSET(AL283,,,-$AE$15*12)),0))-SUM($AL$28:AL283)*(Z285=0))*(Z284=1)</f>
        <v>0</v>
      </c>
      <c r="AM284" s="19">
        <f t="shared" si="107"/>
        <v>0</v>
      </c>
      <c r="AN284" s="19">
        <f t="shared" si="108"/>
        <v>0</v>
      </c>
      <c r="AP284" s="19">
        <f t="shared" ca="1" si="82"/>
        <v>0</v>
      </c>
      <c r="AQ284" s="18">
        <f t="shared" si="83"/>
        <v>0.40451563443687444</v>
      </c>
    </row>
    <row r="285" spans="3:43" x14ac:dyDescent="0.25">
      <c r="C285">
        <f t="shared" si="84"/>
        <v>257</v>
      </c>
      <c r="D285">
        <f t="shared" si="85"/>
        <v>21</v>
      </c>
      <c r="E285" s="12">
        <f t="shared" si="86"/>
        <v>53662</v>
      </c>
      <c r="F285" s="12"/>
      <c r="G285" s="15">
        <f t="shared" si="87"/>
        <v>0</v>
      </c>
      <c r="H285" s="15">
        <f t="shared" si="88"/>
        <v>0</v>
      </c>
      <c r="I285" s="15"/>
      <c r="J285" s="16">
        <f t="shared" si="89"/>
        <v>0</v>
      </c>
      <c r="K285" s="16">
        <f t="shared" si="90"/>
        <v>0</v>
      </c>
      <c r="L285">
        <f t="shared" si="91"/>
        <v>0</v>
      </c>
      <c r="M285">
        <f t="shared" si="92"/>
        <v>0</v>
      </c>
      <c r="N285" s="16">
        <f t="shared" si="93"/>
        <v>0</v>
      </c>
      <c r="O285" s="16"/>
      <c r="P285" s="17">
        <f t="shared" si="94"/>
        <v>0</v>
      </c>
      <c r="Q285">
        <f>Q284/(1+Assumptions!$E$8/12)</f>
        <v>0.40308803099377144</v>
      </c>
      <c r="S285" s="17">
        <f t="shared" si="95"/>
        <v>0</v>
      </c>
      <c r="T285" s="17">
        <f>T284*(1+$K$24)*Z285</f>
        <v>0</v>
      </c>
      <c r="U285" s="17">
        <f t="shared" si="96"/>
        <v>0</v>
      </c>
      <c r="V285" s="17">
        <f t="shared" si="97"/>
        <v>0</v>
      </c>
      <c r="W285" s="17">
        <f t="shared" si="98"/>
        <v>0</v>
      </c>
      <c r="Y285">
        <f>(MONTH(E285)=MONTH(Assumptions!$E$6))*(YEAR(Assumptions!$E$6)=YEAR('Rent v Mortgage'!E285))</f>
        <v>0</v>
      </c>
      <c r="Z285">
        <f>--(SUM($Y$28:Y284)&lt;1)*AA285</f>
        <v>0</v>
      </c>
      <c r="AA285">
        <f t="shared" si="99"/>
        <v>1</v>
      </c>
      <c r="AB285" s="20"/>
      <c r="AC285">
        <f t="shared" si="100"/>
        <v>257</v>
      </c>
      <c r="AD285">
        <f t="shared" si="101"/>
        <v>2046</v>
      </c>
      <c r="AE285" s="12">
        <f t="shared" si="102"/>
        <v>53662</v>
      </c>
      <c r="AG285" s="19">
        <f t="shared" si="103"/>
        <v>0</v>
      </c>
      <c r="AH285" s="19">
        <f t="shared" si="104"/>
        <v>0</v>
      </c>
      <c r="AI285" s="19">
        <f t="shared" si="105"/>
        <v>0</v>
      </c>
      <c r="AK285" s="19">
        <f t="shared" si="106"/>
        <v>0</v>
      </c>
      <c r="AL285" s="19">
        <f ca="1">(IF(MOD(AC285,($AE$15*12)),0,$AG285-IFERROR(SUM(OFFSET(AL284,,,-$AE$15*12)),0))-SUM($AL$28:AL284)*(Z286=0))*(Z285=1)</f>
        <v>0</v>
      </c>
      <c r="AM285" s="19">
        <f t="shared" si="107"/>
        <v>0</v>
      </c>
      <c r="AN285" s="19">
        <f t="shared" si="108"/>
        <v>0</v>
      </c>
      <c r="AP285" s="19">
        <f t="shared" ref="AP285:AP348" ca="1" si="109">SUM(AG285:AN285)*-1</f>
        <v>0</v>
      </c>
      <c r="AQ285" s="18">
        <f t="shared" ref="AQ285:AQ348" si="110">Q285</f>
        <v>0.40308803099377144</v>
      </c>
    </row>
    <row r="286" spans="3:43" x14ac:dyDescent="0.25">
      <c r="C286">
        <f t="shared" ref="C286:C349" si="111">C285+1</f>
        <v>258</v>
      </c>
      <c r="D286">
        <f t="shared" ref="D286:D349" si="112">DATEDIF($E$28,E286,"y")</f>
        <v>21</v>
      </c>
      <c r="E286" s="12">
        <f t="shared" ref="E286:E349" si="113">EDATE(E285,1)</f>
        <v>53693</v>
      </c>
      <c r="F286" s="12"/>
      <c r="G286" s="15">
        <f t="shared" ref="G286:G349" si="114">IF(Z286,-PPMT($H$8/12,C286,$H$7*12,$H$5*(1-$H$9)),0)</f>
        <v>0</v>
      </c>
      <c r="H286" s="15">
        <f t="shared" ref="H286:H349" si="115">IF(Z286,($H$6-G286),0)</f>
        <v>0</v>
      </c>
      <c r="I286" s="15"/>
      <c r="J286" s="16">
        <f t="shared" ref="J286:J349" si="116">IF(Z286,($H$15*$H$5/12),0)</f>
        <v>0</v>
      </c>
      <c r="K286" s="16">
        <f t="shared" ref="K286:K349" si="117">IF(Z286,($H$14*$H$5/12),0)</f>
        <v>0</v>
      </c>
      <c r="L286">
        <f t="shared" ref="L286:L349" si="118">IF(MOD(C286,12),0,$H$16*T286)*Z286</f>
        <v>0</v>
      </c>
      <c r="M286">
        <f t="shared" ref="M286:M349" si="119">IF(MOD(C286,3),0,$H$13*S286/4)*Z286</f>
        <v>0</v>
      </c>
      <c r="N286" s="16">
        <f t="shared" ref="N286:N349" si="120">$H$21*Z286*$H$20</f>
        <v>0</v>
      </c>
      <c r="O286" s="16"/>
      <c r="P286" s="17">
        <f t="shared" ref="P286:P349" si="121">-SUM(G286:N286)+Y286*W286</f>
        <v>0</v>
      </c>
      <c r="Q286">
        <f>Q285/(1+Assumptions!$E$8/12)</f>
        <v>0.40166546580238793</v>
      </c>
      <c r="S286" s="17">
        <f t="shared" ref="S286:S349" si="122">IF(MOD(C286,12),S285,T286)*Z286</f>
        <v>0</v>
      </c>
      <c r="T286" s="17">
        <f>T285*(1+$K$24)*Z286</f>
        <v>0</v>
      </c>
      <c r="U286" s="17">
        <f t="shared" ref="U286:U349" si="123">V285*Z286</f>
        <v>0</v>
      </c>
      <c r="V286" s="17">
        <f t="shared" ref="V286:V349" si="124">U286-G286</f>
        <v>0</v>
      </c>
      <c r="W286" s="17">
        <f t="shared" ref="W286:W349" si="125">T286-V286</f>
        <v>0</v>
      </c>
      <c r="Y286">
        <f>(MONTH(E286)=MONTH(Assumptions!$E$6))*(YEAR(Assumptions!$E$6)=YEAR('Rent v Mortgage'!E286))</f>
        <v>0</v>
      </c>
      <c r="Z286">
        <f>--(SUM($Y$28:Y285)&lt;1)*AA286</f>
        <v>0</v>
      </c>
      <c r="AA286">
        <f t="shared" ref="AA286:AA349" si="126">(C286&lt;=$H$7*12)*1</f>
        <v>1</v>
      </c>
      <c r="AB286" s="20"/>
      <c r="AC286">
        <f t="shared" ref="AC286:AC349" si="127">C286</f>
        <v>258</v>
      </c>
      <c r="AD286">
        <f t="shared" ref="AD286:AD349" si="128">YEAR(AE286)</f>
        <v>2047</v>
      </c>
      <c r="AE286" s="12">
        <f t="shared" ref="AE286:AE349" si="129">E286</f>
        <v>53693</v>
      </c>
      <c r="AG286" s="19">
        <f t="shared" ref="AG286:AG349" si="130">AG285*(1+$AE$18*(MOD(AC286,12)=0))*Z286</f>
        <v>0</v>
      </c>
      <c r="AH286" s="19">
        <f t="shared" ref="AH286:AH349" si="131">$AE$7*$AG285*Z286</f>
        <v>0</v>
      </c>
      <c r="AI286" s="19">
        <f t="shared" ref="AI286:AI349" si="132">IF(MOD(AC286,12),0,$AE$8)*Z286</f>
        <v>0</v>
      </c>
      <c r="AK286" s="19">
        <f t="shared" ref="AK286:AK349" si="133">IF(MOD(AC286,($AE$15*12)),0,$AE$11)*Z286</f>
        <v>0</v>
      </c>
      <c r="AL286" s="19">
        <f ca="1">(IF(MOD(AC286,($AE$15*12)),0,$AG286-IFERROR(SUM(OFFSET(AL285,,,-$AE$15*12)),0))-SUM($AL$28:AL285)*(Z287=0))*(Z286=1)</f>
        <v>0</v>
      </c>
      <c r="AM286" s="19">
        <f t="shared" ref="AM286:AM349" si="134">IF(MOD(AC286,($AE$15*12)),0,$AE$13)*Z286</f>
        <v>0</v>
      </c>
      <c r="AN286" s="19">
        <f t="shared" ref="AN286:AN349" si="135">AG286*$AE$17*(Z287=0)</f>
        <v>0</v>
      </c>
      <c r="AP286" s="19">
        <f t="shared" ca="1" si="109"/>
        <v>0</v>
      </c>
      <c r="AQ286" s="18">
        <f t="shared" si="110"/>
        <v>0.40166546580238793</v>
      </c>
    </row>
    <row r="287" spans="3:43" x14ac:dyDescent="0.25">
      <c r="C287">
        <f t="shared" si="111"/>
        <v>259</v>
      </c>
      <c r="D287">
        <f t="shared" si="112"/>
        <v>21</v>
      </c>
      <c r="E287" s="12">
        <f t="shared" si="113"/>
        <v>53724</v>
      </c>
      <c r="F287" s="12"/>
      <c r="G287" s="15">
        <f t="shared" si="114"/>
        <v>0</v>
      </c>
      <c r="H287" s="15">
        <f t="shared" si="115"/>
        <v>0</v>
      </c>
      <c r="I287" s="15"/>
      <c r="J287" s="16">
        <f t="shared" si="116"/>
        <v>0</v>
      </c>
      <c r="K287" s="16">
        <f t="shared" si="117"/>
        <v>0</v>
      </c>
      <c r="L287">
        <f t="shared" si="118"/>
        <v>0</v>
      </c>
      <c r="M287">
        <f t="shared" si="119"/>
        <v>0</v>
      </c>
      <c r="N287" s="16">
        <f t="shared" si="120"/>
        <v>0</v>
      </c>
      <c r="O287" s="16"/>
      <c r="P287" s="17">
        <f t="shared" si="121"/>
        <v>0</v>
      </c>
      <c r="Q287">
        <f>Q286/(1+Assumptions!$E$8/12)</f>
        <v>0.40024792108188956</v>
      </c>
      <c r="S287" s="17">
        <f t="shared" si="122"/>
        <v>0</v>
      </c>
      <c r="T287" s="17">
        <f>T286*(1+$K$24)*Z287</f>
        <v>0</v>
      </c>
      <c r="U287" s="17">
        <f t="shared" si="123"/>
        <v>0</v>
      </c>
      <c r="V287" s="17">
        <f t="shared" si="124"/>
        <v>0</v>
      </c>
      <c r="W287" s="17">
        <f t="shared" si="125"/>
        <v>0</v>
      </c>
      <c r="Y287">
        <f>(MONTH(E287)=MONTH(Assumptions!$E$6))*(YEAR(Assumptions!$E$6)=YEAR('Rent v Mortgage'!E287))</f>
        <v>0</v>
      </c>
      <c r="Z287">
        <f>--(SUM($Y$28:Y286)&lt;1)*AA287</f>
        <v>0</v>
      </c>
      <c r="AA287">
        <f t="shared" si="126"/>
        <v>1</v>
      </c>
      <c r="AB287" s="20"/>
      <c r="AC287">
        <f t="shared" si="127"/>
        <v>259</v>
      </c>
      <c r="AD287">
        <f t="shared" si="128"/>
        <v>2047</v>
      </c>
      <c r="AE287" s="12">
        <f t="shared" si="129"/>
        <v>53724</v>
      </c>
      <c r="AG287" s="19">
        <f t="shared" si="130"/>
        <v>0</v>
      </c>
      <c r="AH287" s="19">
        <f t="shared" si="131"/>
        <v>0</v>
      </c>
      <c r="AI287" s="19">
        <f t="shared" si="132"/>
        <v>0</v>
      </c>
      <c r="AK287" s="19">
        <f t="shared" si="133"/>
        <v>0</v>
      </c>
      <c r="AL287" s="19">
        <f ca="1">(IF(MOD(AC287,($AE$15*12)),0,$AG287-IFERROR(SUM(OFFSET(AL286,,,-$AE$15*12)),0))-SUM($AL$28:AL286)*(Z288=0))*(Z287=1)</f>
        <v>0</v>
      </c>
      <c r="AM287" s="19">
        <f t="shared" si="134"/>
        <v>0</v>
      </c>
      <c r="AN287" s="19">
        <f t="shared" si="135"/>
        <v>0</v>
      </c>
      <c r="AP287" s="19">
        <f t="shared" ca="1" si="109"/>
        <v>0</v>
      </c>
      <c r="AQ287" s="18">
        <f t="shared" si="110"/>
        <v>0.40024792108188956</v>
      </c>
    </row>
    <row r="288" spans="3:43" x14ac:dyDescent="0.25">
      <c r="C288">
        <f t="shared" si="111"/>
        <v>260</v>
      </c>
      <c r="D288">
        <f t="shared" si="112"/>
        <v>21</v>
      </c>
      <c r="E288" s="12">
        <f t="shared" si="113"/>
        <v>53752</v>
      </c>
      <c r="F288" s="12"/>
      <c r="G288" s="15">
        <f t="shared" si="114"/>
        <v>0</v>
      </c>
      <c r="H288" s="15">
        <f t="shared" si="115"/>
        <v>0</v>
      </c>
      <c r="I288" s="15"/>
      <c r="J288" s="16">
        <f t="shared" si="116"/>
        <v>0</v>
      </c>
      <c r="K288" s="16">
        <f t="shared" si="117"/>
        <v>0</v>
      </c>
      <c r="L288">
        <f t="shared" si="118"/>
        <v>0</v>
      </c>
      <c r="M288">
        <f t="shared" si="119"/>
        <v>0</v>
      </c>
      <c r="N288" s="16">
        <f t="shared" si="120"/>
        <v>0</v>
      </c>
      <c r="O288" s="16"/>
      <c r="P288" s="17">
        <f t="shared" si="121"/>
        <v>0</v>
      </c>
      <c r="Q288">
        <f>Q287/(1+Assumptions!$E$8/12)</f>
        <v>0.39883537911419342</v>
      </c>
      <c r="S288" s="17">
        <f t="shared" si="122"/>
        <v>0</v>
      </c>
      <c r="T288" s="17">
        <f>T287*(1+$K$24)*Z288</f>
        <v>0</v>
      </c>
      <c r="U288" s="17">
        <f t="shared" si="123"/>
        <v>0</v>
      </c>
      <c r="V288" s="17">
        <f t="shared" si="124"/>
        <v>0</v>
      </c>
      <c r="W288" s="17">
        <f t="shared" si="125"/>
        <v>0</v>
      </c>
      <c r="Y288">
        <f>(MONTH(E288)=MONTH(Assumptions!$E$6))*(YEAR(Assumptions!$E$6)=YEAR('Rent v Mortgage'!E288))</f>
        <v>0</v>
      </c>
      <c r="Z288">
        <f>--(SUM($Y$28:Y287)&lt;1)*AA288</f>
        <v>0</v>
      </c>
      <c r="AA288">
        <f t="shared" si="126"/>
        <v>1</v>
      </c>
      <c r="AB288" s="20"/>
      <c r="AC288">
        <f t="shared" si="127"/>
        <v>260</v>
      </c>
      <c r="AD288">
        <f t="shared" si="128"/>
        <v>2047</v>
      </c>
      <c r="AE288" s="12">
        <f t="shared" si="129"/>
        <v>53752</v>
      </c>
      <c r="AG288" s="19">
        <f t="shared" si="130"/>
        <v>0</v>
      </c>
      <c r="AH288" s="19">
        <f t="shared" si="131"/>
        <v>0</v>
      </c>
      <c r="AI288" s="19">
        <f t="shared" si="132"/>
        <v>0</v>
      </c>
      <c r="AK288" s="19">
        <f t="shared" si="133"/>
        <v>0</v>
      </c>
      <c r="AL288" s="19">
        <f ca="1">(IF(MOD(AC288,($AE$15*12)),0,$AG288-IFERROR(SUM(OFFSET(AL287,,,-$AE$15*12)),0))-SUM($AL$28:AL287)*(Z289=0))*(Z288=1)</f>
        <v>0</v>
      </c>
      <c r="AM288" s="19">
        <f t="shared" si="134"/>
        <v>0</v>
      </c>
      <c r="AN288" s="19">
        <f t="shared" si="135"/>
        <v>0</v>
      </c>
      <c r="AP288" s="19">
        <f t="shared" ca="1" si="109"/>
        <v>0</v>
      </c>
      <c r="AQ288" s="18">
        <f t="shared" si="110"/>
        <v>0.39883537911419342</v>
      </c>
    </row>
    <row r="289" spans="3:43" x14ac:dyDescent="0.25">
      <c r="C289">
        <f t="shared" si="111"/>
        <v>261</v>
      </c>
      <c r="D289">
        <f t="shared" si="112"/>
        <v>21</v>
      </c>
      <c r="E289" s="12">
        <f t="shared" si="113"/>
        <v>53783</v>
      </c>
      <c r="F289" s="12"/>
      <c r="G289" s="15">
        <f t="shared" si="114"/>
        <v>0</v>
      </c>
      <c r="H289" s="15">
        <f t="shared" si="115"/>
        <v>0</v>
      </c>
      <c r="I289" s="15"/>
      <c r="J289" s="16">
        <f t="shared" si="116"/>
        <v>0</v>
      </c>
      <c r="K289" s="16">
        <f t="shared" si="117"/>
        <v>0</v>
      </c>
      <c r="L289">
        <f t="shared" si="118"/>
        <v>0</v>
      </c>
      <c r="M289">
        <f t="shared" si="119"/>
        <v>0</v>
      </c>
      <c r="N289" s="16">
        <f t="shared" si="120"/>
        <v>0</v>
      </c>
      <c r="O289" s="16"/>
      <c r="P289" s="17">
        <f t="shared" si="121"/>
        <v>0</v>
      </c>
      <c r="Q289">
        <f>Q288/(1+Assumptions!$E$8/12)</f>
        <v>0.39742782224374679</v>
      </c>
      <c r="S289" s="17">
        <f t="shared" si="122"/>
        <v>0</v>
      </c>
      <c r="T289" s="17">
        <f>T288*(1+$K$24)*Z289</f>
        <v>0</v>
      </c>
      <c r="U289" s="17">
        <f t="shared" si="123"/>
        <v>0</v>
      </c>
      <c r="V289" s="17">
        <f t="shared" si="124"/>
        <v>0</v>
      </c>
      <c r="W289" s="17">
        <f t="shared" si="125"/>
        <v>0</v>
      </c>
      <c r="Y289">
        <f>(MONTH(E289)=MONTH(Assumptions!$E$6))*(YEAR(Assumptions!$E$6)=YEAR('Rent v Mortgage'!E289))</f>
        <v>0</v>
      </c>
      <c r="Z289">
        <f>--(SUM($Y$28:Y288)&lt;1)*AA289</f>
        <v>0</v>
      </c>
      <c r="AA289">
        <f t="shared" si="126"/>
        <v>1</v>
      </c>
      <c r="AB289" s="20"/>
      <c r="AC289">
        <f t="shared" si="127"/>
        <v>261</v>
      </c>
      <c r="AD289">
        <f t="shared" si="128"/>
        <v>2047</v>
      </c>
      <c r="AE289" s="12">
        <f t="shared" si="129"/>
        <v>53783</v>
      </c>
      <c r="AG289" s="19">
        <f t="shared" si="130"/>
        <v>0</v>
      </c>
      <c r="AH289" s="19">
        <f t="shared" si="131"/>
        <v>0</v>
      </c>
      <c r="AI289" s="19">
        <f t="shared" si="132"/>
        <v>0</v>
      </c>
      <c r="AK289" s="19">
        <f t="shared" si="133"/>
        <v>0</v>
      </c>
      <c r="AL289" s="19">
        <f ca="1">(IF(MOD(AC289,($AE$15*12)),0,$AG289-IFERROR(SUM(OFFSET(AL288,,,-$AE$15*12)),0))-SUM($AL$28:AL288)*(Z290=0))*(Z289=1)</f>
        <v>0</v>
      </c>
      <c r="AM289" s="19">
        <f t="shared" si="134"/>
        <v>0</v>
      </c>
      <c r="AN289" s="19">
        <f t="shared" si="135"/>
        <v>0</v>
      </c>
      <c r="AP289" s="19">
        <f t="shared" ca="1" si="109"/>
        <v>0</v>
      </c>
      <c r="AQ289" s="18">
        <f t="shared" si="110"/>
        <v>0.39742782224374679</v>
      </c>
    </row>
    <row r="290" spans="3:43" x14ac:dyDescent="0.25">
      <c r="C290">
        <f t="shared" si="111"/>
        <v>262</v>
      </c>
      <c r="D290">
        <f t="shared" si="112"/>
        <v>21</v>
      </c>
      <c r="E290" s="12">
        <f t="shared" si="113"/>
        <v>53813</v>
      </c>
      <c r="F290" s="12"/>
      <c r="G290" s="15">
        <f t="shared" si="114"/>
        <v>0</v>
      </c>
      <c r="H290" s="15">
        <f t="shared" si="115"/>
        <v>0</v>
      </c>
      <c r="I290" s="15"/>
      <c r="J290" s="16">
        <f t="shared" si="116"/>
        <v>0</v>
      </c>
      <c r="K290" s="16">
        <f t="shared" si="117"/>
        <v>0</v>
      </c>
      <c r="L290">
        <f t="shared" si="118"/>
        <v>0</v>
      </c>
      <c r="M290">
        <f t="shared" si="119"/>
        <v>0</v>
      </c>
      <c r="N290" s="16">
        <f t="shared" si="120"/>
        <v>0</v>
      </c>
      <c r="O290" s="16"/>
      <c r="P290" s="17">
        <f t="shared" si="121"/>
        <v>0</v>
      </c>
      <c r="Q290">
        <f>Q289/(1+Assumptions!$E$8/12)</f>
        <v>0.39602523287730629</v>
      </c>
      <c r="S290" s="17">
        <f t="shared" si="122"/>
        <v>0</v>
      </c>
      <c r="T290" s="17">
        <f>T289*(1+$K$24)*Z290</f>
        <v>0</v>
      </c>
      <c r="U290" s="17">
        <f t="shared" si="123"/>
        <v>0</v>
      </c>
      <c r="V290" s="17">
        <f t="shared" si="124"/>
        <v>0</v>
      </c>
      <c r="W290" s="17">
        <f t="shared" si="125"/>
        <v>0</v>
      </c>
      <c r="Y290">
        <f>(MONTH(E290)=MONTH(Assumptions!$E$6))*(YEAR(Assumptions!$E$6)=YEAR('Rent v Mortgage'!E290))</f>
        <v>0</v>
      </c>
      <c r="Z290">
        <f>--(SUM($Y$28:Y289)&lt;1)*AA290</f>
        <v>0</v>
      </c>
      <c r="AA290">
        <f t="shared" si="126"/>
        <v>1</v>
      </c>
      <c r="AB290" s="20"/>
      <c r="AC290">
        <f t="shared" si="127"/>
        <v>262</v>
      </c>
      <c r="AD290">
        <f t="shared" si="128"/>
        <v>2047</v>
      </c>
      <c r="AE290" s="12">
        <f t="shared" si="129"/>
        <v>53813</v>
      </c>
      <c r="AG290" s="19">
        <f t="shared" si="130"/>
        <v>0</v>
      </c>
      <c r="AH290" s="19">
        <f t="shared" si="131"/>
        <v>0</v>
      </c>
      <c r="AI290" s="19">
        <f t="shared" si="132"/>
        <v>0</v>
      </c>
      <c r="AK290" s="19">
        <f t="shared" si="133"/>
        <v>0</v>
      </c>
      <c r="AL290" s="19">
        <f ca="1">(IF(MOD(AC290,($AE$15*12)),0,$AG290-IFERROR(SUM(OFFSET(AL289,,,-$AE$15*12)),0))-SUM($AL$28:AL289)*(Z291=0))*(Z290=1)</f>
        <v>0</v>
      </c>
      <c r="AM290" s="19">
        <f t="shared" si="134"/>
        <v>0</v>
      </c>
      <c r="AN290" s="19">
        <f t="shared" si="135"/>
        <v>0</v>
      </c>
      <c r="AP290" s="19">
        <f t="shared" ca="1" si="109"/>
        <v>0</v>
      </c>
      <c r="AQ290" s="18">
        <f t="shared" si="110"/>
        <v>0.39602523287730629</v>
      </c>
    </row>
    <row r="291" spans="3:43" x14ac:dyDescent="0.25">
      <c r="C291">
        <f t="shared" si="111"/>
        <v>263</v>
      </c>
      <c r="D291">
        <f t="shared" si="112"/>
        <v>21</v>
      </c>
      <c r="E291" s="12">
        <f t="shared" si="113"/>
        <v>53844</v>
      </c>
      <c r="F291" s="12"/>
      <c r="G291" s="15">
        <f t="shared" si="114"/>
        <v>0</v>
      </c>
      <c r="H291" s="15">
        <f t="shared" si="115"/>
        <v>0</v>
      </c>
      <c r="I291" s="15"/>
      <c r="J291" s="16">
        <f t="shared" si="116"/>
        <v>0</v>
      </c>
      <c r="K291" s="16">
        <f t="shared" si="117"/>
        <v>0</v>
      </c>
      <c r="L291">
        <f t="shared" si="118"/>
        <v>0</v>
      </c>
      <c r="M291">
        <f t="shared" si="119"/>
        <v>0</v>
      </c>
      <c r="N291" s="16">
        <f t="shared" si="120"/>
        <v>0</v>
      </c>
      <c r="O291" s="16"/>
      <c r="P291" s="17">
        <f t="shared" si="121"/>
        <v>0</v>
      </c>
      <c r="Q291">
        <f>Q290/(1+Assumptions!$E$8/12)</f>
        <v>0.39462759348371806</v>
      </c>
      <c r="S291" s="17">
        <f t="shared" si="122"/>
        <v>0</v>
      </c>
      <c r="T291" s="17">
        <f>T290*(1+$K$24)*Z291</f>
        <v>0</v>
      </c>
      <c r="U291" s="17">
        <f t="shared" si="123"/>
        <v>0</v>
      </c>
      <c r="V291" s="17">
        <f t="shared" si="124"/>
        <v>0</v>
      </c>
      <c r="W291" s="17">
        <f t="shared" si="125"/>
        <v>0</v>
      </c>
      <c r="Y291">
        <f>(MONTH(E291)=MONTH(Assumptions!$E$6))*(YEAR(Assumptions!$E$6)=YEAR('Rent v Mortgage'!E291))</f>
        <v>0</v>
      </c>
      <c r="Z291">
        <f>--(SUM($Y$28:Y290)&lt;1)*AA291</f>
        <v>0</v>
      </c>
      <c r="AA291">
        <f t="shared" si="126"/>
        <v>1</v>
      </c>
      <c r="AB291" s="20"/>
      <c r="AC291">
        <f t="shared" si="127"/>
        <v>263</v>
      </c>
      <c r="AD291">
        <f t="shared" si="128"/>
        <v>2047</v>
      </c>
      <c r="AE291" s="12">
        <f t="shared" si="129"/>
        <v>53844</v>
      </c>
      <c r="AG291" s="19">
        <f t="shared" si="130"/>
        <v>0</v>
      </c>
      <c r="AH291" s="19">
        <f t="shared" si="131"/>
        <v>0</v>
      </c>
      <c r="AI291" s="19">
        <f t="shared" si="132"/>
        <v>0</v>
      </c>
      <c r="AK291" s="19">
        <f t="shared" si="133"/>
        <v>0</v>
      </c>
      <c r="AL291" s="19">
        <f ca="1">(IF(MOD(AC291,($AE$15*12)),0,$AG291-IFERROR(SUM(OFFSET(AL290,,,-$AE$15*12)),0))-SUM($AL$28:AL290)*(Z292=0))*(Z291=1)</f>
        <v>0</v>
      </c>
      <c r="AM291" s="19">
        <f t="shared" si="134"/>
        <v>0</v>
      </c>
      <c r="AN291" s="19">
        <f t="shared" si="135"/>
        <v>0</v>
      </c>
      <c r="AP291" s="19">
        <f t="shared" ca="1" si="109"/>
        <v>0</v>
      </c>
      <c r="AQ291" s="18">
        <f t="shared" si="110"/>
        <v>0.39462759348371806</v>
      </c>
    </row>
    <row r="292" spans="3:43" x14ac:dyDescent="0.25">
      <c r="C292">
        <f t="shared" si="111"/>
        <v>264</v>
      </c>
      <c r="D292">
        <f t="shared" si="112"/>
        <v>22</v>
      </c>
      <c r="E292" s="12">
        <f t="shared" si="113"/>
        <v>53874</v>
      </c>
      <c r="F292" s="12"/>
      <c r="G292" s="15">
        <f t="shared" si="114"/>
        <v>0</v>
      </c>
      <c r="H292" s="15">
        <f t="shared" si="115"/>
        <v>0</v>
      </c>
      <c r="I292" s="15"/>
      <c r="J292" s="16">
        <f t="shared" si="116"/>
        <v>0</v>
      </c>
      <c r="K292" s="16">
        <f t="shared" si="117"/>
        <v>0</v>
      </c>
      <c r="L292">
        <f t="shared" si="118"/>
        <v>0</v>
      </c>
      <c r="M292">
        <f t="shared" si="119"/>
        <v>0</v>
      </c>
      <c r="N292" s="16">
        <f t="shared" si="120"/>
        <v>0</v>
      </c>
      <c r="O292" s="16"/>
      <c r="P292" s="17">
        <f t="shared" si="121"/>
        <v>0</v>
      </c>
      <c r="Q292">
        <f>Q291/(1+Assumptions!$E$8/12)</f>
        <v>0.39323488659369865</v>
      </c>
      <c r="S292" s="17">
        <f t="shared" si="122"/>
        <v>0</v>
      </c>
      <c r="T292" s="17">
        <f>T291*(1+$K$24)*Z292</f>
        <v>0</v>
      </c>
      <c r="U292" s="17">
        <f t="shared" si="123"/>
        <v>0</v>
      </c>
      <c r="V292" s="17">
        <f t="shared" si="124"/>
        <v>0</v>
      </c>
      <c r="W292" s="17">
        <f t="shared" si="125"/>
        <v>0</v>
      </c>
      <c r="Y292">
        <f>(MONTH(E292)=MONTH(Assumptions!$E$6))*(YEAR(Assumptions!$E$6)=YEAR('Rent v Mortgage'!E292))</f>
        <v>0</v>
      </c>
      <c r="Z292">
        <f>--(SUM($Y$28:Y291)&lt;1)*AA292</f>
        <v>0</v>
      </c>
      <c r="AA292">
        <f t="shared" si="126"/>
        <v>1</v>
      </c>
      <c r="AB292" s="20"/>
      <c r="AC292">
        <f t="shared" si="127"/>
        <v>264</v>
      </c>
      <c r="AD292">
        <f t="shared" si="128"/>
        <v>2047</v>
      </c>
      <c r="AE292" s="12">
        <f t="shared" si="129"/>
        <v>53874</v>
      </c>
      <c r="AG292" s="19">
        <f t="shared" si="130"/>
        <v>0</v>
      </c>
      <c r="AH292" s="19">
        <f t="shared" si="131"/>
        <v>0</v>
      </c>
      <c r="AI292" s="19">
        <f t="shared" si="132"/>
        <v>0</v>
      </c>
      <c r="AK292" s="19">
        <f t="shared" si="133"/>
        <v>0</v>
      </c>
      <c r="AL292" s="19">
        <f ca="1">(IF(MOD(AC292,($AE$15*12)),0,$AG292-IFERROR(SUM(OFFSET(AL291,,,-$AE$15*12)),0))-SUM($AL$28:AL291)*(Z293=0))*(Z292=1)</f>
        <v>0</v>
      </c>
      <c r="AM292" s="19">
        <f t="shared" si="134"/>
        <v>0</v>
      </c>
      <c r="AN292" s="19">
        <f t="shared" si="135"/>
        <v>0</v>
      </c>
      <c r="AP292" s="19">
        <f t="shared" ca="1" si="109"/>
        <v>0</v>
      </c>
      <c r="AQ292" s="18">
        <f t="shared" si="110"/>
        <v>0.39323488659369865</v>
      </c>
    </row>
    <row r="293" spans="3:43" x14ac:dyDescent="0.25">
      <c r="C293">
        <f t="shared" si="111"/>
        <v>265</v>
      </c>
      <c r="D293">
        <f t="shared" si="112"/>
        <v>22</v>
      </c>
      <c r="E293" s="12">
        <f t="shared" si="113"/>
        <v>53905</v>
      </c>
      <c r="F293" s="12"/>
      <c r="G293" s="15">
        <f t="shared" si="114"/>
        <v>0</v>
      </c>
      <c r="H293" s="15">
        <f t="shared" si="115"/>
        <v>0</v>
      </c>
      <c r="I293" s="15"/>
      <c r="J293" s="16">
        <f t="shared" si="116"/>
        <v>0</v>
      </c>
      <c r="K293" s="16">
        <f t="shared" si="117"/>
        <v>0</v>
      </c>
      <c r="L293">
        <f t="shared" si="118"/>
        <v>0</v>
      </c>
      <c r="M293">
        <f t="shared" si="119"/>
        <v>0</v>
      </c>
      <c r="N293" s="16">
        <f t="shared" si="120"/>
        <v>0</v>
      </c>
      <c r="O293" s="16"/>
      <c r="P293" s="17">
        <f t="shared" si="121"/>
        <v>0</v>
      </c>
      <c r="Q293">
        <f>Q292/(1+Assumptions!$E$8/12)</f>
        <v>0.39184709479961666</v>
      </c>
      <c r="S293" s="17">
        <f t="shared" si="122"/>
        <v>0</v>
      </c>
      <c r="T293" s="17">
        <f>T292*(1+$K$24)*Z293</f>
        <v>0</v>
      </c>
      <c r="U293" s="17">
        <f t="shared" si="123"/>
        <v>0</v>
      </c>
      <c r="V293" s="17">
        <f t="shared" si="124"/>
        <v>0</v>
      </c>
      <c r="W293" s="17">
        <f t="shared" si="125"/>
        <v>0</v>
      </c>
      <c r="Y293">
        <f>(MONTH(E293)=MONTH(Assumptions!$E$6))*(YEAR(Assumptions!$E$6)=YEAR('Rent v Mortgage'!E293))</f>
        <v>0</v>
      </c>
      <c r="Z293">
        <f>--(SUM($Y$28:Y292)&lt;1)*AA293</f>
        <v>0</v>
      </c>
      <c r="AA293">
        <f t="shared" si="126"/>
        <v>1</v>
      </c>
      <c r="AB293" s="20"/>
      <c r="AC293">
        <f t="shared" si="127"/>
        <v>265</v>
      </c>
      <c r="AD293">
        <f t="shared" si="128"/>
        <v>2047</v>
      </c>
      <c r="AE293" s="12">
        <f t="shared" si="129"/>
        <v>53905</v>
      </c>
      <c r="AG293" s="19">
        <f t="shared" si="130"/>
        <v>0</v>
      </c>
      <c r="AH293" s="19">
        <f t="shared" si="131"/>
        <v>0</v>
      </c>
      <c r="AI293" s="19">
        <f t="shared" si="132"/>
        <v>0</v>
      </c>
      <c r="AK293" s="19">
        <f t="shared" si="133"/>
        <v>0</v>
      </c>
      <c r="AL293" s="19">
        <f ca="1">(IF(MOD(AC293,($AE$15*12)),0,$AG293-IFERROR(SUM(OFFSET(AL292,,,-$AE$15*12)),0))-SUM($AL$28:AL292)*(Z294=0))*(Z293=1)</f>
        <v>0</v>
      </c>
      <c r="AM293" s="19">
        <f t="shared" si="134"/>
        <v>0</v>
      </c>
      <c r="AN293" s="19">
        <f t="shared" si="135"/>
        <v>0</v>
      </c>
      <c r="AP293" s="19">
        <f t="shared" ca="1" si="109"/>
        <v>0</v>
      </c>
      <c r="AQ293" s="18">
        <f t="shared" si="110"/>
        <v>0.39184709479961666</v>
      </c>
    </row>
    <row r="294" spans="3:43" x14ac:dyDescent="0.25">
      <c r="C294">
        <f t="shared" si="111"/>
        <v>266</v>
      </c>
      <c r="D294">
        <f t="shared" si="112"/>
        <v>22</v>
      </c>
      <c r="E294" s="12">
        <f t="shared" si="113"/>
        <v>53936</v>
      </c>
      <c r="F294" s="12"/>
      <c r="G294" s="15">
        <f t="shared" si="114"/>
        <v>0</v>
      </c>
      <c r="H294" s="15">
        <f t="shared" si="115"/>
        <v>0</v>
      </c>
      <c r="I294" s="15"/>
      <c r="J294" s="16">
        <f t="shared" si="116"/>
        <v>0</v>
      </c>
      <c r="K294" s="16">
        <f t="shared" si="117"/>
        <v>0</v>
      </c>
      <c r="L294">
        <f t="shared" si="118"/>
        <v>0</v>
      </c>
      <c r="M294">
        <f t="shared" si="119"/>
        <v>0</v>
      </c>
      <c r="N294" s="16">
        <f t="shared" si="120"/>
        <v>0</v>
      </c>
      <c r="O294" s="16"/>
      <c r="P294" s="17">
        <f t="shared" si="121"/>
        <v>0</v>
      </c>
      <c r="Q294">
        <f>Q293/(1+Assumptions!$E$8/12)</f>
        <v>0.39046420075527499</v>
      </c>
      <c r="S294" s="17">
        <f t="shared" si="122"/>
        <v>0</v>
      </c>
      <c r="T294" s="17">
        <f>T293*(1+$K$24)*Z294</f>
        <v>0</v>
      </c>
      <c r="U294" s="17">
        <f t="shared" si="123"/>
        <v>0</v>
      </c>
      <c r="V294" s="17">
        <f t="shared" si="124"/>
        <v>0</v>
      </c>
      <c r="W294" s="17">
        <f t="shared" si="125"/>
        <v>0</v>
      </c>
      <c r="Y294">
        <f>(MONTH(E294)=MONTH(Assumptions!$E$6))*(YEAR(Assumptions!$E$6)=YEAR('Rent v Mortgage'!E294))</f>
        <v>0</v>
      </c>
      <c r="Z294">
        <f>--(SUM($Y$28:Y293)&lt;1)*AA294</f>
        <v>0</v>
      </c>
      <c r="AA294">
        <f t="shared" si="126"/>
        <v>1</v>
      </c>
      <c r="AB294" s="20"/>
      <c r="AC294">
        <f t="shared" si="127"/>
        <v>266</v>
      </c>
      <c r="AD294">
        <f t="shared" si="128"/>
        <v>2047</v>
      </c>
      <c r="AE294" s="12">
        <f t="shared" si="129"/>
        <v>53936</v>
      </c>
      <c r="AG294" s="19">
        <f t="shared" si="130"/>
        <v>0</v>
      </c>
      <c r="AH294" s="19">
        <f t="shared" si="131"/>
        <v>0</v>
      </c>
      <c r="AI294" s="19">
        <f t="shared" si="132"/>
        <v>0</v>
      </c>
      <c r="AK294" s="19">
        <f t="shared" si="133"/>
        <v>0</v>
      </c>
      <c r="AL294" s="19">
        <f ca="1">(IF(MOD(AC294,($AE$15*12)),0,$AG294-IFERROR(SUM(OFFSET(AL293,,,-$AE$15*12)),0))-SUM($AL$28:AL293)*(Z295=0))*(Z294=1)</f>
        <v>0</v>
      </c>
      <c r="AM294" s="19">
        <f t="shared" si="134"/>
        <v>0</v>
      </c>
      <c r="AN294" s="19">
        <f t="shared" si="135"/>
        <v>0</v>
      </c>
      <c r="AP294" s="19">
        <f t="shared" ca="1" si="109"/>
        <v>0</v>
      </c>
      <c r="AQ294" s="18">
        <f t="shared" si="110"/>
        <v>0.39046420075527499</v>
      </c>
    </row>
    <row r="295" spans="3:43" x14ac:dyDescent="0.25">
      <c r="C295">
        <f t="shared" si="111"/>
        <v>267</v>
      </c>
      <c r="D295">
        <f t="shared" si="112"/>
        <v>22</v>
      </c>
      <c r="E295" s="12">
        <f t="shared" si="113"/>
        <v>53966</v>
      </c>
      <c r="F295" s="12"/>
      <c r="G295" s="15">
        <f t="shared" si="114"/>
        <v>0</v>
      </c>
      <c r="H295" s="15">
        <f t="shared" si="115"/>
        <v>0</v>
      </c>
      <c r="I295" s="15"/>
      <c r="J295" s="16">
        <f t="shared" si="116"/>
        <v>0</v>
      </c>
      <c r="K295" s="16">
        <f t="shared" si="117"/>
        <v>0</v>
      </c>
      <c r="L295">
        <f t="shared" si="118"/>
        <v>0</v>
      </c>
      <c r="M295">
        <f t="shared" si="119"/>
        <v>0</v>
      </c>
      <c r="N295" s="16">
        <f t="shared" si="120"/>
        <v>0</v>
      </c>
      <c r="O295" s="16"/>
      <c r="P295" s="17">
        <f t="shared" si="121"/>
        <v>0</v>
      </c>
      <c r="Q295">
        <f>Q294/(1+Assumptions!$E$8/12)</f>
        <v>0.38908618717569438</v>
      </c>
      <c r="S295" s="17">
        <f t="shared" si="122"/>
        <v>0</v>
      </c>
      <c r="T295" s="17">
        <f>T294*(1+$K$24)*Z295</f>
        <v>0</v>
      </c>
      <c r="U295" s="17">
        <f t="shared" si="123"/>
        <v>0</v>
      </c>
      <c r="V295" s="17">
        <f t="shared" si="124"/>
        <v>0</v>
      </c>
      <c r="W295" s="17">
        <f t="shared" si="125"/>
        <v>0</v>
      </c>
      <c r="Y295">
        <f>(MONTH(E295)=MONTH(Assumptions!$E$6))*(YEAR(Assumptions!$E$6)=YEAR('Rent v Mortgage'!E295))</f>
        <v>0</v>
      </c>
      <c r="Z295">
        <f>--(SUM($Y$28:Y294)&lt;1)*AA295</f>
        <v>0</v>
      </c>
      <c r="AA295">
        <f t="shared" si="126"/>
        <v>1</v>
      </c>
      <c r="AB295" s="20"/>
      <c r="AC295">
        <f t="shared" si="127"/>
        <v>267</v>
      </c>
      <c r="AD295">
        <f t="shared" si="128"/>
        <v>2047</v>
      </c>
      <c r="AE295" s="12">
        <f t="shared" si="129"/>
        <v>53966</v>
      </c>
      <c r="AG295" s="19">
        <f t="shared" si="130"/>
        <v>0</v>
      </c>
      <c r="AH295" s="19">
        <f t="shared" si="131"/>
        <v>0</v>
      </c>
      <c r="AI295" s="19">
        <f t="shared" si="132"/>
        <v>0</v>
      </c>
      <c r="AK295" s="19">
        <f t="shared" si="133"/>
        <v>0</v>
      </c>
      <c r="AL295" s="19">
        <f ca="1">(IF(MOD(AC295,($AE$15*12)),0,$AG295-IFERROR(SUM(OFFSET(AL294,,,-$AE$15*12)),0))-SUM($AL$28:AL294)*(Z296=0))*(Z295=1)</f>
        <v>0</v>
      </c>
      <c r="AM295" s="19">
        <f t="shared" si="134"/>
        <v>0</v>
      </c>
      <c r="AN295" s="19">
        <f t="shared" si="135"/>
        <v>0</v>
      </c>
      <c r="AP295" s="19">
        <f t="shared" ca="1" si="109"/>
        <v>0</v>
      </c>
      <c r="AQ295" s="18">
        <f t="shared" si="110"/>
        <v>0.38908618717569438</v>
      </c>
    </row>
    <row r="296" spans="3:43" x14ac:dyDescent="0.25">
      <c r="C296">
        <f t="shared" si="111"/>
        <v>268</v>
      </c>
      <c r="D296">
        <f t="shared" si="112"/>
        <v>22</v>
      </c>
      <c r="E296" s="12">
        <f t="shared" si="113"/>
        <v>53997</v>
      </c>
      <c r="F296" s="12"/>
      <c r="G296" s="15">
        <f t="shared" si="114"/>
        <v>0</v>
      </c>
      <c r="H296" s="15">
        <f t="shared" si="115"/>
        <v>0</v>
      </c>
      <c r="I296" s="15"/>
      <c r="J296" s="16">
        <f t="shared" si="116"/>
        <v>0</v>
      </c>
      <c r="K296" s="16">
        <f t="shared" si="117"/>
        <v>0</v>
      </c>
      <c r="L296">
        <f t="shared" si="118"/>
        <v>0</v>
      </c>
      <c r="M296">
        <f t="shared" si="119"/>
        <v>0</v>
      </c>
      <c r="N296" s="16">
        <f t="shared" si="120"/>
        <v>0</v>
      </c>
      <c r="O296" s="16"/>
      <c r="P296" s="17">
        <f t="shared" si="121"/>
        <v>0</v>
      </c>
      <c r="Q296">
        <f>Q295/(1+Assumptions!$E$8/12)</f>
        <v>0.38771303683689701</v>
      </c>
      <c r="S296" s="17">
        <f t="shared" si="122"/>
        <v>0</v>
      </c>
      <c r="T296" s="17">
        <f>T295*(1+$K$24)*Z296</f>
        <v>0</v>
      </c>
      <c r="U296" s="17">
        <f t="shared" si="123"/>
        <v>0</v>
      </c>
      <c r="V296" s="17">
        <f t="shared" si="124"/>
        <v>0</v>
      </c>
      <c r="W296" s="17">
        <f t="shared" si="125"/>
        <v>0</v>
      </c>
      <c r="Y296">
        <f>(MONTH(E296)=MONTH(Assumptions!$E$6))*(YEAR(Assumptions!$E$6)=YEAR('Rent v Mortgage'!E296))</f>
        <v>0</v>
      </c>
      <c r="Z296">
        <f>--(SUM($Y$28:Y295)&lt;1)*AA296</f>
        <v>0</v>
      </c>
      <c r="AA296">
        <f t="shared" si="126"/>
        <v>1</v>
      </c>
      <c r="AB296" s="20"/>
      <c r="AC296">
        <f t="shared" si="127"/>
        <v>268</v>
      </c>
      <c r="AD296">
        <f t="shared" si="128"/>
        <v>2047</v>
      </c>
      <c r="AE296" s="12">
        <f t="shared" si="129"/>
        <v>53997</v>
      </c>
      <c r="AG296" s="19">
        <f t="shared" si="130"/>
        <v>0</v>
      </c>
      <c r="AH296" s="19">
        <f t="shared" si="131"/>
        <v>0</v>
      </c>
      <c r="AI296" s="19">
        <f t="shared" si="132"/>
        <v>0</v>
      </c>
      <c r="AK296" s="19">
        <f t="shared" si="133"/>
        <v>0</v>
      </c>
      <c r="AL296" s="19">
        <f ca="1">(IF(MOD(AC296,($AE$15*12)),0,$AG296-IFERROR(SUM(OFFSET(AL295,,,-$AE$15*12)),0))-SUM($AL$28:AL295)*(Z297=0))*(Z296=1)</f>
        <v>0</v>
      </c>
      <c r="AM296" s="19">
        <f t="shared" si="134"/>
        <v>0</v>
      </c>
      <c r="AN296" s="19">
        <f t="shared" si="135"/>
        <v>0</v>
      </c>
      <c r="AP296" s="19">
        <f t="shared" ca="1" si="109"/>
        <v>0</v>
      </c>
      <c r="AQ296" s="18">
        <f t="shared" si="110"/>
        <v>0.38771303683689701</v>
      </c>
    </row>
    <row r="297" spans="3:43" x14ac:dyDescent="0.25">
      <c r="C297">
        <f t="shared" si="111"/>
        <v>269</v>
      </c>
      <c r="D297">
        <f t="shared" si="112"/>
        <v>22</v>
      </c>
      <c r="E297" s="12">
        <f t="shared" si="113"/>
        <v>54027</v>
      </c>
      <c r="F297" s="12"/>
      <c r="G297" s="15">
        <f t="shared" si="114"/>
        <v>0</v>
      </c>
      <c r="H297" s="15">
        <f t="shared" si="115"/>
        <v>0</v>
      </c>
      <c r="I297" s="15"/>
      <c r="J297" s="16">
        <f t="shared" si="116"/>
        <v>0</v>
      </c>
      <c r="K297" s="16">
        <f t="shared" si="117"/>
        <v>0</v>
      </c>
      <c r="L297">
        <f t="shared" si="118"/>
        <v>0</v>
      </c>
      <c r="M297">
        <f t="shared" si="119"/>
        <v>0</v>
      </c>
      <c r="N297" s="16">
        <f t="shared" si="120"/>
        <v>0</v>
      </c>
      <c r="O297" s="16"/>
      <c r="P297" s="17">
        <f t="shared" si="121"/>
        <v>0</v>
      </c>
      <c r="Q297">
        <f>Q296/(1+Assumptions!$E$8/12)</f>
        <v>0.38634473257569141</v>
      </c>
      <c r="S297" s="17">
        <f t="shared" si="122"/>
        <v>0</v>
      </c>
      <c r="T297" s="17">
        <f>T296*(1+$K$24)*Z297</f>
        <v>0</v>
      </c>
      <c r="U297" s="17">
        <f t="shared" si="123"/>
        <v>0</v>
      </c>
      <c r="V297" s="17">
        <f t="shared" si="124"/>
        <v>0</v>
      </c>
      <c r="W297" s="17">
        <f t="shared" si="125"/>
        <v>0</v>
      </c>
      <c r="Y297">
        <f>(MONTH(E297)=MONTH(Assumptions!$E$6))*(YEAR(Assumptions!$E$6)=YEAR('Rent v Mortgage'!E297))</f>
        <v>0</v>
      </c>
      <c r="Z297">
        <f>--(SUM($Y$28:Y296)&lt;1)*AA297</f>
        <v>0</v>
      </c>
      <c r="AA297">
        <f t="shared" si="126"/>
        <v>1</v>
      </c>
      <c r="AB297" s="20"/>
      <c r="AC297">
        <f t="shared" si="127"/>
        <v>269</v>
      </c>
      <c r="AD297">
        <f t="shared" si="128"/>
        <v>2047</v>
      </c>
      <c r="AE297" s="12">
        <f t="shared" si="129"/>
        <v>54027</v>
      </c>
      <c r="AG297" s="19">
        <f t="shared" si="130"/>
        <v>0</v>
      </c>
      <c r="AH297" s="19">
        <f t="shared" si="131"/>
        <v>0</v>
      </c>
      <c r="AI297" s="19">
        <f t="shared" si="132"/>
        <v>0</v>
      </c>
      <c r="AK297" s="19">
        <f t="shared" si="133"/>
        <v>0</v>
      </c>
      <c r="AL297" s="19">
        <f ca="1">(IF(MOD(AC297,($AE$15*12)),0,$AG297-IFERROR(SUM(OFFSET(AL296,,,-$AE$15*12)),0))-SUM($AL$28:AL296)*(Z298=0))*(Z297=1)</f>
        <v>0</v>
      </c>
      <c r="AM297" s="19">
        <f t="shared" si="134"/>
        <v>0</v>
      </c>
      <c r="AN297" s="19">
        <f t="shared" si="135"/>
        <v>0</v>
      </c>
      <c r="AP297" s="19">
        <f t="shared" ca="1" si="109"/>
        <v>0</v>
      </c>
      <c r="AQ297" s="18">
        <f t="shared" si="110"/>
        <v>0.38634473257569141</v>
      </c>
    </row>
    <row r="298" spans="3:43" x14ac:dyDescent="0.25">
      <c r="C298">
        <f t="shared" si="111"/>
        <v>270</v>
      </c>
      <c r="D298">
        <f t="shared" si="112"/>
        <v>22</v>
      </c>
      <c r="E298" s="12">
        <f t="shared" si="113"/>
        <v>54058</v>
      </c>
      <c r="F298" s="12"/>
      <c r="G298" s="15">
        <f t="shared" si="114"/>
        <v>0</v>
      </c>
      <c r="H298" s="15">
        <f t="shared" si="115"/>
        <v>0</v>
      </c>
      <c r="I298" s="15"/>
      <c r="J298" s="16">
        <f t="shared" si="116"/>
        <v>0</v>
      </c>
      <c r="K298" s="16">
        <f t="shared" si="117"/>
        <v>0</v>
      </c>
      <c r="L298">
        <f t="shared" si="118"/>
        <v>0</v>
      </c>
      <c r="M298">
        <f t="shared" si="119"/>
        <v>0</v>
      </c>
      <c r="N298" s="16">
        <f t="shared" si="120"/>
        <v>0</v>
      </c>
      <c r="O298" s="16"/>
      <c r="P298" s="17">
        <f t="shared" si="121"/>
        <v>0</v>
      </c>
      <c r="Q298">
        <f>Q297/(1+Assumptions!$E$8/12)</f>
        <v>0.38498125728945787</v>
      </c>
      <c r="S298" s="17">
        <f t="shared" si="122"/>
        <v>0</v>
      </c>
      <c r="T298" s="17">
        <f>T297*(1+$K$24)*Z298</f>
        <v>0</v>
      </c>
      <c r="U298" s="17">
        <f t="shared" si="123"/>
        <v>0</v>
      </c>
      <c r="V298" s="17">
        <f t="shared" si="124"/>
        <v>0</v>
      </c>
      <c r="W298" s="17">
        <f t="shared" si="125"/>
        <v>0</v>
      </c>
      <c r="Y298">
        <f>(MONTH(E298)=MONTH(Assumptions!$E$6))*(YEAR(Assumptions!$E$6)=YEAR('Rent v Mortgage'!E298))</f>
        <v>0</v>
      </c>
      <c r="Z298">
        <f>--(SUM($Y$28:Y297)&lt;1)*AA298</f>
        <v>0</v>
      </c>
      <c r="AA298">
        <f t="shared" si="126"/>
        <v>1</v>
      </c>
      <c r="AB298" s="20"/>
      <c r="AC298">
        <f t="shared" si="127"/>
        <v>270</v>
      </c>
      <c r="AD298">
        <f t="shared" si="128"/>
        <v>2048</v>
      </c>
      <c r="AE298" s="12">
        <f t="shared" si="129"/>
        <v>54058</v>
      </c>
      <c r="AG298" s="19">
        <f t="shared" si="130"/>
        <v>0</v>
      </c>
      <c r="AH298" s="19">
        <f t="shared" si="131"/>
        <v>0</v>
      </c>
      <c r="AI298" s="19">
        <f t="shared" si="132"/>
        <v>0</v>
      </c>
      <c r="AK298" s="19">
        <f t="shared" si="133"/>
        <v>0</v>
      </c>
      <c r="AL298" s="19">
        <f ca="1">(IF(MOD(AC298,($AE$15*12)),0,$AG298-IFERROR(SUM(OFFSET(AL297,,,-$AE$15*12)),0))-SUM($AL$28:AL297)*(Z299=0))*(Z298=1)</f>
        <v>0</v>
      </c>
      <c r="AM298" s="19">
        <f t="shared" si="134"/>
        <v>0</v>
      </c>
      <c r="AN298" s="19">
        <f t="shared" si="135"/>
        <v>0</v>
      </c>
      <c r="AP298" s="19">
        <f t="shared" ca="1" si="109"/>
        <v>0</v>
      </c>
      <c r="AQ298" s="18">
        <f t="shared" si="110"/>
        <v>0.38498125728945787</v>
      </c>
    </row>
    <row r="299" spans="3:43" x14ac:dyDescent="0.25">
      <c r="C299">
        <f t="shared" si="111"/>
        <v>271</v>
      </c>
      <c r="D299">
        <f t="shared" si="112"/>
        <v>22</v>
      </c>
      <c r="E299" s="12">
        <f t="shared" si="113"/>
        <v>54089</v>
      </c>
      <c r="F299" s="12"/>
      <c r="G299" s="15">
        <f t="shared" si="114"/>
        <v>0</v>
      </c>
      <c r="H299" s="15">
        <f t="shared" si="115"/>
        <v>0</v>
      </c>
      <c r="I299" s="15"/>
      <c r="J299" s="16">
        <f t="shared" si="116"/>
        <v>0</v>
      </c>
      <c r="K299" s="16">
        <f t="shared" si="117"/>
        <v>0</v>
      </c>
      <c r="L299">
        <f t="shared" si="118"/>
        <v>0</v>
      </c>
      <c r="M299">
        <f t="shared" si="119"/>
        <v>0</v>
      </c>
      <c r="N299" s="16">
        <f t="shared" si="120"/>
        <v>0</v>
      </c>
      <c r="O299" s="16"/>
      <c r="P299" s="17">
        <f t="shared" si="121"/>
        <v>0</v>
      </c>
      <c r="Q299">
        <f>Q298/(1+Assumptions!$E$8/12)</f>
        <v>0.38362259393593473</v>
      </c>
      <c r="S299" s="17">
        <f t="shared" si="122"/>
        <v>0</v>
      </c>
      <c r="T299" s="17">
        <f>T298*(1+$K$24)*Z299</f>
        <v>0</v>
      </c>
      <c r="U299" s="17">
        <f t="shared" si="123"/>
        <v>0</v>
      </c>
      <c r="V299" s="17">
        <f t="shared" si="124"/>
        <v>0</v>
      </c>
      <c r="W299" s="17">
        <f t="shared" si="125"/>
        <v>0</v>
      </c>
      <c r="Y299">
        <f>(MONTH(E299)=MONTH(Assumptions!$E$6))*(YEAR(Assumptions!$E$6)=YEAR('Rent v Mortgage'!E299))</f>
        <v>0</v>
      </c>
      <c r="Z299">
        <f>--(SUM($Y$28:Y298)&lt;1)*AA299</f>
        <v>0</v>
      </c>
      <c r="AA299">
        <f t="shared" si="126"/>
        <v>1</v>
      </c>
      <c r="AB299" s="20"/>
      <c r="AC299">
        <f t="shared" si="127"/>
        <v>271</v>
      </c>
      <c r="AD299">
        <f t="shared" si="128"/>
        <v>2048</v>
      </c>
      <c r="AE299" s="12">
        <f t="shared" si="129"/>
        <v>54089</v>
      </c>
      <c r="AG299" s="19">
        <f t="shared" si="130"/>
        <v>0</v>
      </c>
      <c r="AH299" s="19">
        <f t="shared" si="131"/>
        <v>0</v>
      </c>
      <c r="AI299" s="19">
        <f t="shared" si="132"/>
        <v>0</v>
      </c>
      <c r="AK299" s="19">
        <f t="shared" si="133"/>
        <v>0</v>
      </c>
      <c r="AL299" s="19">
        <f ca="1">(IF(MOD(AC299,($AE$15*12)),0,$AG299-IFERROR(SUM(OFFSET(AL298,,,-$AE$15*12)),0))-SUM($AL$28:AL298)*(Z300=0))*(Z299=1)</f>
        <v>0</v>
      </c>
      <c r="AM299" s="19">
        <f t="shared" si="134"/>
        <v>0</v>
      </c>
      <c r="AN299" s="19">
        <f t="shared" si="135"/>
        <v>0</v>
      </c>
      <c r="AP299" s="19">
        <f t="shared" ca="1" si="109"/>
        <v>0</v>
      </c>
      <c r="AQ299" s="18">
        <f t="shared" si="110"/>
        <v>0.38362259393593473</v>
      </c>
    </row>
    <row r="300" spans="3:43" x14ac:dyDescent="0.25">
      <c r="C300">
        <f t="shared" si="111"/>
        <v>272</v>
      </c>
      <c r="D300">
        <f t="shared" si="112"/>
        <v>22</v>
      </c>
      <c r="E300" s="12">
        <f t="shared" si="113"/>
        <v>54118</v>
      </c>
      <c r="F300" s="12"/>
      <c r="G300" s="15">
        <f t="shared" si="114"/>
        <v>0</v>
      </c>
      <c r="H300" s="15">
        <f t="shared" si="115"/>
        <v>0</v>
      </c>
      <c r="I300" s="15"/>
      <c r="J300" s="16">
        <f t="shared" si="116"/>
        <v>0</v>
      </c>
      <c r="K300" s="16">
        <f t="shared" si="117"/>
        <v>0</v>
      </c>
      <c r="L300">
        <f t="shared" si="118"/>
        <v>0</v>
      </c>
      <c r="M300">
        <f t="shared" si="119"/>
        <v>0</v>
      </c>
      <c r="N300" s="16">
        <f t="shared" si="120"/>
        <v>0</v>
      </c>
      <c r="O300" s="16"/>
      <c r="P300" s="17">
        <f t="shared" si="121"/>
        <v>0</v>
      </c>
      <c r="Q300">
        <f>Q299/(1+Assumptions!$E$8/12)</f>
        <v>0.38226872553300528</v>
      </c>
      <c r="S300" s="17">
        <f t="shared" si="122"/>
        <v>0</v>
      </c>
      <c r="T300" s="17">
        <f>T299*(1+$K$24)*Z300</f>
        <v>0</v>
      </c>
      <c r="U300" s="17">
        <f t="shared" si="123"/>
        <v>0</v>
      </c>
      <c r="V300" s="17">
        <f t="shared" si="124"/>
        <v>0</v>
      </c>
      <c r="W300" s="17">
        <f t="shared" si="125"/>
        <v>0</v>
      </c>
      <c r="Y300">
        <f>(MONTH(E300)=MONTH(Assumptions!$E$6))*(YEAR(Assumptions!$E$6)=YEAR('Rent v Mortgage'!E300))</f>
        <v>0</v>
      </c>
      <c r="Z300">
        <f>--(SUM($Y$28:Y299)&lt;1)*AA300</f>
        <v>0</v>
      </c>
      <c r="AA300">
        <f t="shared" si="126"/>
        <v>1</v>
      </c>
      <c r="AB300" s="20"/>
      <c r="AC300">
        <f t="shared" si="127"/>
        <v>272</v>
      </c>
      <c r="AD300">
        <f t="shared" si="128"/>
        <v>2048</v>
      </c>
      <c r="AE300" s="12">
        <f t="shared" si="129"/>
        <v>54118</v>
      </c>
      <c r="AG300" s="19">
        <f t="shared" si="130"/>
        <v>0</v>
      </c>
      <c r="AH300" s="19">
        <f t="shared" si="131"/>
        <v>0</v>
      </c>
      <c r="AI300" s="19">
        <f t="shared" si="132"/>
        <v>0</v>
      </c>
      <c r="AK300" s="19">
        <f t="shared" si="133"/>
        <v>0</v>
      </c>
      <c r="AL300" s="19">
        <f ca="1">(IF(MOD(AC300,($AE$15*12)),0,$AG300-IFERROR(SUM(OFFSET(AL299,,,-$AE$15*12)),0))-SUM($AL$28:AL299)*(Z301=0))*(Z300=1)</f>
        <v>0</v>
      </c>
      <c r="AM300" s="19">
        <f t="shared" si="134"/>
        <v>0</v>
      </c>
      <c r="AN300" s="19">
        <f t="shared" si="135"/>
        <v>0</v>
      </c>
      <c r="AP300" s="19">
        <f t="shared" ca="1" si="109"/>
        <v>0</v>
      </c>
      <c r="AQ300" s="18">
        <f t="shared" si="110"/>
        <v>0.38226872553300528</v>
      </c>
    </row>
    <row r="301" spans="3:43" x14ac:dyDescent="0.25">
      <c r="C301">
        <f t="shared" si="111"/>
        <v>273</v>
      </c>
      <c r="D301">
        <f t="shared" si="112"/>
        <v>22</v>
      </c>
      <c r="E301" s="12">
        <f t="shared" si="113"/>
        <v>54149</v>
      </c>
      <c r="F301" s="12"/>
      <c r="G301" s="15">
        <f t="shared" si="114"/>
        <v>0</v>
      </c>
      <c r="H301" s="15">
        <f t="shared" si="115"/>
        <v>0</v>
      </c>
      <c r="I301" s="15"/>
      <c r="J301" s="16">
        <f t="shared" si="116"/>
        <v>0</v>
      </c>
      <c r="K301" s="16">
        <f t="shared" si="117"/>
        <v>0</v>
      </c>
      <c r="L301">
        <f t="shared" si="118"/>
        <v>0</v>
      </c>
      <c r="M301">
        <f t="shared" si="119"/>
        <v>0</v>
      </c>
      <c r="N301" s="16">
        <f t="shared" si="120"/>
        <v>0</v>
      </c>
      <c r="O301" s="16"/>
      <c r="P301" s="17">
        <f t="shared" si="121"/>
        <v>0</v>
      </c>
      <c r="Q301">
        <f>Q300/(1+Assumptions!$E$8/12)</f>
        <v>0.38091963515848559</v>
      </c>
      <c r="S301" s="17">
        <f t="shared" si="122"/>
        <v>0</v>
      </c>
      <c r="T301" s="17">
        <f>T300*(1+$K$24)*Z301</f>
        <v>0</v>
      </c>
      <c r="U301" s="17">
        <f t="shared" si="123"/>
        <v>0</v>
      </c>
      <c r="V301" s="17">
        <f t="shared" si="124"/>
        <v>0</v>
      </c>
      <c r="W301" s="17">
        <f t="shared" si="125"/>
        <v>0</v>
      </c>
      <c r="Y301">
        <f>(MONTH(E301)=MONTH(Assumptions!$E$6))*(YEAR(Assumptions!$E$6)=YEAR('Rent v Mortgage'!E301))</f>
        <v>0</v>
      </c>
      <c r="Z301">
        <f>--(SUM($Y$28:Y300)&lt;1)*AA301</f>
        <v>0</v>
      </c>
      <c r="AA301">
        <f t="shared" si="126"/>
        <v>1</v>
      </c>
      <c r="AB301" s="20"/>
      <c r="AC301">
        <f t="shared" si="127"/>
        <v>273</v>
      </c>
      <c r="AD301">
        <f t="shared" si="128"/>
        <v>2048</v>
      </c>
      <c r="AE301" s="12">
        <f t="shared" si="129"/>
        <v>54149</v>
      </c>
      <c r="AG301" s="19">
        <f t="shared" si="130"/>
        <v>0</v>
      </c>
      <c r="AH301" s="19">
        <f t="shared" si="131"/>
        <v>0</v>
      </c>
      <c r="AI301" s="19">
        <f t="shared" si="132"/>
        <v>0</v>
      </c>
      <c r="AK301" s="19">
        <f t="shared" si="133"/>
        <v>0</v>
      </c>
      <c r="AL301" s="19">
        <f ca="1">(IF(MOD(AC301,($AE$15*12)),0,$AG301-IFERROR(SUM(OFFSET(AL300,,,-$AE$15*12)),0))-SUM($AL$28:AL300)*(Z302=0))*(Z301=1)</f>
        <v>0</v>
      </c>
      <c r="AM301" s="19">
        <f t="shared" si="134"/>
        <v>0</v>
      </c>
      <c r="AN301" s="19">
        <f t="shared" si="135"/>
        <v>0</v>
      </c>
      <c r="AP301" s="19">
        <f t="shared" ca="1" si="109"/>
        <v>0</v>
      </c>
      <c r="AQ301" s="18">
        <f t="shared" si="110"/>
        <v>0.38091963515848559</v>
      </c>
    </row>
    <row r="302" spans="3:43" x14ac:dyDescent="0.25">
      <c r="C302">
        <f t="shared" si="111"/>
        <v>274</v>
      </c>
      <c r="D302">
        <f t="shared" si="112"/>
        <v>22</v>
      </c>
      <c r="E302" s="12">
        <f t="shared" si="113"/>
        <v>54179</v>
      </c>
      <c r="F302" s="12"/>
      <c r="G302" s="15">
        <f t="shared" si="114"/>
        <v>0</v>
      </c>
      <c r="H302" s="15">
        <f t="shared" si="115"/>
        <v>0</v>
      </c>
      <c r="I302" s="15"/>
      <c r="J302" s="16">
        <f t="shared" si="116"/>
        <v>0</v>
      </c>
      <c r="K302" s="16">
        <f t="shared" si="117"/>
        <v>0</v>
      </c>
      <c r="L302">
        <f t="shared" si="118"/>
        <v>0</v>
      </c>
      <c r="M302">
        <f t="shared" si="119"/>
        <v>0</v>
      </c>
      <c r="N302" s="16">
        <f t="shared" si="120"/>
        <v>0</v>
      </c>
      <c r="O302" s="16"/>
      <c r="P302" s="17">
        <f t="shared" si="121"/>
        <v>0</v>
      </c>
      <c r="Q302">
        <f>Q301/(1+Assumptions!$E$8/12)</f>
        <v>0.37957530594991296</v>
      </c>
      <c r="S302" s="17">
        <f t="shared" si="122"/>
        <v>0</v>
      </c>
      <c r="T302" s="17">
        <f>T301*(1+$K$24)*Z302</f>
        <v>0</v>
      </c>
      <c r="U302" s="17">
        <f t="shared" si="123"/>
        <v>0</v>
      </c>
      <c r="V302" s="17">
        <f t="shared" si="124"/>
        <v>0</v>
      </c>
      <c r="W302" s="17">
        <f t="shared" si="125"/>
        <v>0</v>
      </c>
      <c r="Y302">
        <f>(MONTH(E302)=MONTH(Assumptions!$E$6))*(YEAR(Assumptions!$E$6)=YEAR('Rent v Mortgage'!E302))</f>
        <v>0</v>
      </c>
      <c r="Z302">
        <f>--(SUM($Y$28:Y301)&lt;1)*AA302</f>
        <v>0</v>
      </c>
      <c r="AA302">
        <f t="shared" si="126"/>
        <v>1</v>
      </c>
      <c r="AB302" s="20"/>
      <c r="AC302">
        <f t="shared" si="127"/>
        <v>274</v>
      </c>
      <c r="AD302">
        <f t="shared" si="128"/>
        <v>2048</v>
      </c>
      <c r="AE302" s="12">
        <f t="shared" si="129"/>
        <v>54179</v>
      </c>
      <c r="AG302" s="19">
        <f t="shared" si="130"/>
        <v>0</v>
      </c>
      <c r="AH302" s="19">
        <f t="shared" si="131"/>
        <v>0</v>
      </c>
      <c r="AI302" s="19">
        <f t="shared" si="132"/>
        <v>0</v>
      </c>
      <c r="AK302" s="19">
        <f t="shared" si="133"/>
        <v>0</v>
      </c>
      <c r="AL302" s="19">
        <f ca="1">(IF(MOD(AC302,($AE$15*12)),0,$AG302-IFERROR(SUM(OFFSET(AL301,,,-$AE$15*12)),0))-SUM($AL$28:AL301)*(Z303=0))*(Z302=1)</f>
        <v>0</v>
      </c>
      <c r="AM302" s="19">
        <f t="shared" si="134"/>
        <v>0</v>
      </c>
      <c r="AN302" s="19">
        <f t="shared" si="135"/>
        <v>0</v>
      </c>
      <c r="AP302" s="19">
        <f t="shared" ca="1" si="109"/>
        <v>0</v>
      </c>
      <c r="AQ302" s="18">
        <f t="shared" si="110"/>
        <v>0.37957530594991296</v>
      </c>
    </row>
    <row r="303" spans="3:43" x14ac:dyDescent="0.25">
      <c r="C303">
        <f t="shared" si="111"/>
        <v>275</v>
      </c>
      <c r="D303">
        <f t="shared" si="112"/>
        <v>22</v>
      </c>
      <c r="E303" s="12">
        <f t="shared" si="113"/>
        <v>54210</v>
      </c>
      <c r="F303" s="12"/>
      <c r="G303" s="15">
        <f t="shared" si="114"/>
        <v>0</v>
      </c>
      <c r="H303" s="15">
        <f t="shared" si="115"/>
        <v>0</v>
      </c>
      <c r="I303" s="15"/>
      <c r="J303" s="16">
        <f t="shared" si="116"/>
        <v>0</v>
      </c>
      <c r="K303" s="16">
        <f t="shared" si="117"/>
        <v>0</v>
      </c>
      <c r="L303">
        <f t="shared" si="118"/>
        <v>0</v>
      </c>
      <c r="M303">
        <f t="shared" si="119"/>
        <v>0</v>
      </c>
      <c r="N303" s="16">
        <f t="shared" si="120"/>
        <v>0</v>
      </c>
      <c r="O303" s="16"/>
      <c r="P303" s="17">
        <f t="shared" si="121"/>
        <v>0</v>
      </c>
      <c r="Q303">
        <f>Q302/(1+Assumptions!$E$8/12)</f>
        <v>0.37823572110433507</v>
      </c>
      <c r="S303" s="17">
        <f t="shared" si="122"/>
        <v>0</v>
      </c>
      <c r="T303" s="17">
        <f>T302*(1+$K$24)*Z303</f>
        <v>0</v>
      </c>
      <c r="U303" s="17">
        <f t="shared" si="123"/>
        <v>0</v>
      </c>
      <c r="V303" s="17">
        <f t="shared" si="124"/>
        <v>0</v>
      </c>
      <c r="W303" s="17">
        <f t="shared" si="125"/>
        <v>0</v>
      </c>
      <c r="Y303">
        <f>(MONTH(E303)=MONTH(Assumptions!$E$6))*(YEAR(Assumptions!$E$6)=YEAR('Rent v Mortgage'!E303))</f>
        <v>0</v>
      </c>
      <c r="Z303">
        <f>--(SUM($Y$28:Y302)&lt;1)*AA303</f>
        <v>0</v>
      </c>
      <c r="AA303">
        <f t="shared" si="126"/>
        <v>1</v>
      </c>
      <c r="AB303" s="20"/>
      <c r="AC303">
        <f t="shared" si="127"/>
        <v>275</v>
      </c>
      <c r="AD303">
        <f t="shared" si="128"/>
        <v>2048</v>
      </c>
      <c r="AE303" s="12">
        <f t="shared" si="129"/>
        <v>54210</v>
      </c>
      <c r="AG303" s="19">
        <f t="shared" si="130"/>
        <v>0</v>
      </c>
      <c r="AH303" s="19">
        <f t="shared" si="131"/>
        <v>0</v>
      </c>
      <c r="AI303" s="19">
        <f t="shared" si="132"/>
        <v>0</v>
      </c>
      <c r="AK303" s="19">
        <f t="shared" si="133"/>
        <v>0</v>
      </c>
      <c r="AL303" s="19">
        <f ca="1">(IF(MOD(AC303,($AE$15*12)),0,$AG303-IFERROR(SUM(OFFSET(AL302,,,-$AE$15*12)),0))-SUM($AL$28:AL302)*(Z304=0))*(Z303=1)</f>
        <v>0</v>
      </c>
      <c r="AM303" s="19">
        <f t="shared" si="134"/>
        <v>0</v>
      </c>
      <c r="AN303" s="19">
        <f t="shared" si="135"/>
        <v>0</v>
      </c>
      <c r="AP303" s="19">
        <f t="shared" ca="1" si="109"/>
        <v>0</v>
      </c>
      <c r="AQ303" s="18">
        <f t="shared" si="110"/>
        <v>0.37823572110433507</v>
      </c>
    </row>
    <row r="304" spans="3:43" x14ac:dyDescent="0.25">
      <c r="C304">
        <f t="shared" si="111"/>
        <v>276</v>
      </c>
      <c r="D304">
        <f t="shared" si="112"/>
        <v>23</v>
      </c>
      <c r="E304" s="12">
        <f t="shared" si="113"/>
        <v>54240</v>
      </c>
      <c r="F304" s="12"/>
      <c r="G304" s="15">
        <f t="shared" si="114"/>
        <v>0</v>
      </c>
      <c r="H304" s="15">
        <f t="shared" si="115"/>
        <v>0</v>
      </c>
      <c r="I304" s="15"/>
      <c r="J304" s="16">
        <f t="shared" si="116"/>
        <v>0</v>
      </c>
      <c r="K304" s="16">
        <f t="shared" si="117"/>
        <v>0</v>
      </c>
      <c r="L304">
        <f t="shared" si="118"/>
        <v>0</v>
      </c>
      <c r="M304">
        <f t="shared" si="119"/>
        <v>0</v>
      </c>
      <c r="N304" s="16">
        <f t="shared" si="120"/>
        <v>0</v>
      </c>
      <c r="O304" s="16"/>
      <c r="P304" s="17">
        <f t="shared" si="121"/>
        <v>0</v>
      </c>
      <c r="Q304">
        <f>Q303/(1+Assumptions!$E$8/12)</f>
        <v>0.37690086387810007</v>
      </c>
      <c r="S304" s="17">
        <f t="shared" si="122"/>
        <v>0</v>
      </c>
      <c r="T304" s="17">
        <f>T303*(1+$K$24)*Z304</f>
        <v>0</v>
      </c>
      <c r="U304" s="17">
        <f t="shared" si="123"/>
        <v>0</v>
      </c>
      <c r="V304" s="17">
        <f t="shared" si="124"/>
        <v>0</v>
      </c>
      <c r="W304" s="17">
        <f t="shared" si="125"/>
        <v>0</v>
      </c>
      <c r="Y304">
        <f>(MONTH(E304)=MONTH(Assumptions!$E$6))*(YEAR(Assumptions!$E$6)=YEAR('Rent v Mortgage'!E304))</f>
        <v>0</v>
      </c>
      <c r="Z304">
        <f>--(SUM($Y$28:Y303)&lt;1)*AA304</f>
        <v>0</v>
      </c>
      <c r="AA304">
        <f t="shared" si="126"/>
        <v>1</v>
      </c>
      <c r="AB304" s="20"/>
      <c r="AC304">
        <f t="shared" si="127"/>
        <v>276</v>
      </c>
      <c r="AD304">
        <f t="shared" si="128"/>
        <v>2048</v>
      </c>
      <c r="AE304" s="12">
        <f t="shared" si="129"/>
        <v>54240</v>
      </c>
      <c r="AG304" s="19">
        <f t="shared" si="130"/>
        <v>0</v>
      </c>
      <c r="AH304" s="19">
        <f t="shared" si="131"/>
        <v>0</v>
      </c>
      <c r="AI304" s="19">
        <f t="shared" si="132"/>
        <v>0</v>
      </c>
      <c r="AK304" s="19">
        <f t="shared" si="133"/>
        <v>0</v>
      </c>
      <c r="AL304" s="19">
        <f ca="1">(IF(MOD(AC304,($AE$15*12)),0,$AG304-IFERROR(SUM(OFFSET(AL303,,,-$AE$15*12)),0))-SUM($AL$28:AL303)*(Z305=0))*(Z304=1)</f>
        <v>0</v>
      </c>
      <c r="AM304" s="19">
        <f t="shared" si="134"/>
        <v>0</v>
      </c>
      <c r="AN304" s="19">
        <f t="shared" si="135"/>
        <v>0</v>
      </c>
      <c r="AP304" s="19">
        <f t="shared" ca="1" si="109"/>
        <v>0</v>
      </c>
      <c r="AQ304" s="18">
        <f t="shared" si="110"/>
        <v>0.37690086387810007</v>
      </c>
    </row>
    <row r="305" spans="3:43" x14ac:dyDescent="0.25">
      <c r="C305">
        <f t="shared" si="111"/>
        <v>277</v>
      </c>
      <c r="D305">
        <f t="shared" si="112"/>
        <v>23</v>
      </c>
      <c r="E305" s="12">
        <f t="shared" si="113"/>
        <v>54271</v>
      </c>
      <c r="F305" s="12"/>
      <c r="G305" s="15">
        <f t="shared" si="114"/>
        <v>0</v>
      </c>
      <c r="H305" s="15">
        <f t="shared" si="115"/>
        <v>0</v>
      </c>
      <c r="I305" s="15"/>
      <c r="J305" s="16">
        <f t="shared" si="116"/>
        <v>0</v>
      </c>
      <c r="K305" s="16">
        <f t="shared" si="117"/>
        <v>0</v>
      </c>
      <c r="L305">
        <f t="shared" si="118"/>
        <v>0</v>
      </c>
      <c r="M305">
        <f t="shared" si="119"/>
        <v>0</v>
      </c>
      <c r="N305" s="16">
        <f t="shared" si="120"/>
        <v>0</v>
      </c>
      <c r="O305" s="16"/>
      <c r="P305" s="17">
        <f t="shared" si="121"/>
        <v>0</v>
      </c>
      <c r="Q305">
        <f>Q304/(1+Assumptions!$E$8/12)</f>
        <v>0.37557071758664734</v>
      </c>
      <c r="S305" s="17">
        <f t="shared" si="122"/>
        <v>0</v>
      </c>
      <c r="T305" s="17">
        <f>T304*(1+$K$24)*Z305</f>
        <v>0</v>
      </c>
      <c r="U305" s="17">
        <f t="shared" si="123"/>
        <v>0</v>
      </c>
      <c r="V305" s="17">
        <f t="shared" si="124"/>
        <v>0</v>
      </c>
      <c r="W305" s="17">
        <f t="shared" si="125"/>
        <v>0</v>
      </c>
      <c r="Y305">
        <f>(MONTH(E305)=MONTH(Assumptions!$E$6))*(YEAR(Assumptions!$E$6)=YEAR('Rent v Mortgage'!E305))</f>
        <v>0</v>
      </c>
      <c r="Z305">
        <f>--(SUM($Y$28:Y304)&lt;1)*AA305</f>
        <v>0</v>
      </c>
      <c r="AA305">
        <f t="shared" si="126"/>
        <v>1</v>
      </c>
      <c r="AB305" s="20"/>
      <c r="AC305">
        <f t="shared" si="127"/>
        <v>277</v>
      </c>
      <c r="AD305">
        <f t="shared" si="128"/>
        <v>2048</v>
      </c>
      <c r="AE305" s="12">
        <f t="shared" si="129"/>
        <v>54271</v>
      </c>
      <c r="AG305" s="19">
        <f t="shared" si="130"/>
        <v>0</v>
      </c>
      <c r="AH305" s="19">
        <f t="shared" si="131"/>
        <v>0</v>
      </c>
      <c r="AI305" s="19">
        <f t="shared" si="132"/>
        <v>0</v>
      </c>
      <c r="AK305" s="19">
        <f t="shared" si="133"/>
        <v>0</v>
      </c>
      <c r="AL305" s="19">
        <f ca="1">(IF(MOD(AC305,($AE$15*12)),0,$AG305-IFERROR(SUM(OFFSET(AL304,,,-$AE$15*12)),0))-SUM($AL$28:AL304)*(Z306=0))*(Z305=1)</f>
        <v>0</v>
      </c>
      <c r="AM305" s="19">
        <f t="shared" si="134"/>
        <v>0</v>
      </c>
      <c r="AN305" s="19">
        <f t="shared" si="135"/>
        <v>0</v>
      </c>
      <c r="AP305" s="19">
        <f t="shared" ca="1" si="109"/>
        <v>0</v>
      </c>
      <c r="AQ305" s="18">
        <f t="shared" si="110"/>
        <v>0.37557071758664734</v>
      </c>
    </row>
    <row r="306" spans="3:43" x14ac:dyDescent="0.25">
      <c r="C306">
        <f t="shared" si="111"/>
        <v>278</v>
      </c>
      <c r="D306">
        <f t="shared" si="112"/>
        <v>23</v>
      </c>
      <c r="E306" s="12">
        <f t="shared" si="113"/>
        <v>54302</v>
      </c>
      <c r="F306" s="12"/>
      <c r="G306" s="15">
        <f t="shared" si="114"/>
        <v>0</v>
      </c>
      <c r="H306" s="15">
        <f t="shared" si="115"/>
        <v>0</v>
      </c>
      <c r="I306" s="15"/>
      <c r="J306" s="16">
        <f t="shared" si="116"/>
        <v>0</v>
      </c>
      <c r="K306" s="16">
        <f t="shared" si="117"/>
        <v>0</v>
      </c>
      <c r="L306">
        <f t="shared" si="118"/>
        <v>0</v>
      </c>
      <c r="M306">
        <f t="shared" si="119"/>
        <v>0</v>
      </c>
      <c r="N306" s="16">
        <f t="shared" si="120"/>
        <v>0</v>
      </c>
      <c r="O306" s="16"/>
      <c r="P306" s="17">
        <f t="shared" si="121"/>
        <v>0</v>
      </c>
      <c r="Q306">
        <f>Q305/(1+Assumptions!$E$8/12)</f>
        <v>0.37424526560429872</v>
      </c>
      <c r="S306" s="17">
        <f t="shared" si="122"/>
        <v>0</v>
      </c>
      <c r="T306" s="17">
        <f>T305*(1+$K$24)*Z306</f>
        <v>0</v>
      </c>
      <c r="U306" s="17">
        <f t="shared" si="123"/>
        <v>0</v>
      </c>
      <c r="V306" s="17">
        <f t="shared" si="124"/>
        <v>0</v>
      </c>
      <c r="W306" s="17">
        <f t="shared" si="125"/>
        <v>0</v>
      </c>
      <c r="Y306">
        <f>(MONTH(E306)=MONTH(Assumptions!$E$6))*(YEAR(Assumptions!$E$6)=YEAR('Rent v Mortgage'!E306))</f>
        <v>0</v>
      </c>
      <c r="Z306">
        <f>--(SUM($Y$28:Y305)&lt;1)*AA306</f>
        <v>0</v>
      </c>
      <c r="AA306">
        <f t="shared" si="126"/>
        <v>1</v>
      </c>
      <c r="AB306" s="20"/>
      <c r="AC306">
        <f t="shared" si="127"/>
        <v>278</v>
      </c>
      <c r="AD306">
        <f t="shared" si="128"/>
        <v>2048</v>
      </c>
      <c r="AE306" s="12">
        <f t="shared" si="129"/>
        <v>54302</v>
      </c>
      <c r="AG306" s="19">
        <f t="shared" si="130"/>
        <v>0</v>
      </c>
      <c r="AH306" s="19">
        <f t="shared" si="131"/>
        <v>0</v>
      </c>
      <c r="AI306" s="19">
        <f t="shared" si="132"/>
        <v>0</v>
      </c>
      <c r="AK306" s="19">
        <f t="shared" si="133"/>
        <v>0</v>
      </c>
      <c r="AL306" s="19">
        <f ca="1">(IF(MOD(AC306,($AE$15*12)),0,$AG306-IFERROR(SUM(OFFSET(AL305,,,-$AE$15*12)),0))-SUM($AL$28:AL305)*(Z307=0))*(Z306=1)</f>
        <v>0</v>
      </c>
      <c r="AM306" s="19">
        <f t="shared" si="134"/>
        <v>0</v>
      </c>
      <c r="AN306" s="19">
        <f t="shared" si="135"/>
        <v>0</v>
      </c>
      <c r="AP306" s="19">
        <f t="shared" ca="1" si="109"/>
        <v>0</v>
      </c>
      <c r="AQ306" s="18">
        <f t="shared" si="110"/>
        <v>0.37424526560429872</v>
      </c>
    </row>
    <row r="307" spans="3:43" x14ac:dyDescent="0.25">
      <c r="C307">
        <f t="shared" si="111"/>
        <v>279</v>
      </c>
      <c r="D307">
        <f t="shared" si="112"/>
        <v>23</v>
      </c>
      <c r="E307" s="12">
        <f t="shared" si="113"/>
        <v>54332</v>
      </c>
      <c r="F307" s="12"/>
      <c r="G307" s="15">
        <f t="shared" si="114"/>
        <v>0</v>
      </c>
      <c r="H307" s="15">
        <f t="shared" si="115"/>
        <v>0</v>
      </c>
      <c r="I307" s="15"/>
      <c r="J307" s="16">
        <f t="shared" si="116"/>
        <v>0</v>
      </c>
      <c r="K307" s="16">
        <f t="shared" si="117"/>
        <v>0</v>
      </c>
      <c r="L307">
        <f t="shared" si="118"/>
        <v>0</v>
      </c>
      <c r="M307">
        <f t="shared" si="119"/>
        <v>0</v>
      </c>
      <c r="N307" s="16">
        <f t="shared" si="120"/>
        <v>0</v>
      </c>
      <c r="O307" s="16"/>
      <c r="P307" s="17">
        <f t="shared" si="121"/>
        <v>0</v>
      </c>
      <c r="Q307">
        <f>Q306/(1+Assumptions!$E$8/12)</f>
        <v>0.37292449136405098</v>
      </c>
      <c r="S307" s="17">
        <f t="shared" si="122"/>
        <v>0</v>
      </c>
      <c r="T307" s="17">
        <f>T306*(1+$K$24)*Z307</f>
        <v>0</v>
      </c>
      <c r="U307" s="17">
        <f t="shared" si="123"/>
        <v>0</v>
      </c>
      <c r="V307" s="17">
        <f t="shared" si="124"/>
        <v>0</v>
      </c>
      <c r="W307" s="17">
        <f t="shared" si="125"/>
        <v>0</v>
      </c>
      <c r="Y307">
        <f>(MONTH(E307)=MONTH(Assumptions!$E$6))*(YEAR(Assumptions!$E$6)=YEAR('Rent v Mortgage'!E307))</f>
        <v>0</v>
      </c>
      <c r="Z307">
        <f>--(SUM($Y$28:Y306)&lt;1)*AA307</f>
        <v>0</v>
      </c>
      <c r="AA307">
        <f t="shared" si="126"/>
        <v>1</v>
      </c>
      <c r="AB307" s="20"/>
      <c r="AC307">
        <f t="shared" si="127"/>
        <v>279</v>
      </c>
      <c r="AD307">
        <f t="shared" si="128"/>
        <v>2048</v>
      </c>
      <c r="AE307" s="12">
        <f t="shared" si="129"/>
        <v>54332</v>
      </c>
      <c r="AG307" s="19">
        <f t="shared" si="130"/>
        <v>0</v>
      </c>
      <c r="AH307" s="19">
        <f t="shared" si="131"/>
        <v>0</v>
      </c>
      <c r="AI307" s="19">
        <f t="shared" si="132"/>
        <v>0</v>
      </c>
      <c r="AK307" s="19">
        <f t="shared" si="133"/>
        <v>0</v>
      </c>
      <c r="AL307" s="19">
        <f ca="1">(IF(MOD(AC307,($AE$15*12)),0,$AG307-IFERROR(SUM(OFFSET(AL306,,,-$AE$15*12)),0))-SUM($AL$28:AL306)*(Z308=0))*(Z307=1)</f>
        <v>0</v>
      </c>
      <c r="AM307" s="19">
        <f t="shared" si="134"/>
        <v>0</v>
      </c>
      <c r="AN307" s="19">
        <f t="shared" si="135"/>
        <v>0</v>
      </c>
      <c r="AP307" s="19">
        <f t="shared" ca="1" si="109"/>
        <v>0</v>
      </c>
      <c r="AQ307" s="18">
        <f t="shared" si="110"/>
        <v>0.37292449136405098</v>
      </c>
    </row>
    <row r="308" spans="3:43" x14ac:dyDescent="0.25">
      <c r="C308">
        <f t="shared" si="111"/>
        <v>280</v>
      </c>
      <c r="D308">
        <f t="shared" si="112"/>
        <v>23</v>
      </c>
      <c r="E308" s="12">
        <f t="shared" si="113"/>
        <v>54363</v>
      </c>
      <c r="F308" s="12"/>
      <c r="G308" s="15">
        <f t="shared" si="114"/>
        <v>0</v>
      </c>
      <c r="H308" s="15">
        <f t="shared" si="115"/>
        <v>0</v>
      </c>
      <c r="I308" s="15"/>
      <c r="J308" s="16">
        <f t="shared" si="116"/>
        <v>0</v>
      </c>
      <c r="K308" s="16">
        <f t="shared" si="117"/>
        <v>0</v>
      </c>
      <c r="L308">
        <f t="shared" si="118"/>
        <v>0</v>
      </c>
      <c r="M308">
        <f t="shared" si="119"/>
        <v>0</v>
      </c>
      <c r="N308" s="16">
        <f t="shared" si="120"/>
        <v>0</v>
      </c>
      <c r="O308" s="16"/>
      <c r="P308" s="17">
        <f t="shared" si="121"/>
        <v>0</v>
      </c>
      <c r="Q308">
        <f>Q307/(1+Assumptions!$E$8/12)</f>
        <v>0.3716083783573686</v>
      </c>
      <c r="S308" s="17">
        <f t="shared" si="122"/>
        <v>0</v>
      </c>
      <c r="T308" s="17">
        <f>T307*(1+$K$24)*Z308</f>
        <v>0</v>
      </c>
      <c r="U308" s="17">
        <f t="shared" si="123"/>
        <v>0</v>
      </c>
      <c r="V308" s="17">
        <f t="shared" si="124"/>
        <v>0</v>
      </c>
      <c r="W308" s="17">
        <f t="shared" si="125"/>
        <v>0</v>
      </c>
      <c r="Y308">
        <f>(MONTH(E308)=MONTH(Assumptions!$E$6))*(YEAR(Assumptions!$E$6)=YEAR('Rent v Mortgage'!E308))</f>
        <v>0</v>
      </c>
      <c r="Z308">
        <f>--(SUM($Y$28:Y307)&lt;1)*AA308</f>
        <v>0</v>
      </c>
      <c r="AA308">
        <f t="shared" si="126"/>
        <v>1</v>
      </c>
      <c r="AB308" s="20"/>
      <c r="AC308">
        <f t="shared" si="127"/>
        <v>280</v>
      </c>
      <c r="AD308">
        <f t="shared" si="128"/>
        <v>2048</v>
      </c>
      <c r="AE308" s="12">
        <f t="shared" si="129"/>
        <v>54363</v>
      </c>
      <c r="AG308" s="19">
        <f t="shared" si="130"/>
        <v>0</v>
      </c>
      <c r="AH308" s="19">
        <f t="shared" si="131"/>
        <v>0</v>
      </c>
      <c r="AI308" s="19">
        <f t="shared" si="132"/>
        <v>0</v>
      </c>
      <c r="AK308" s="19">
        <f t="shared" si="133"/>
        <v>0</v>
      </c>
      <c r="AL308" s="19">
        <f ca="1">(IF(MOD(AC308,($AE$15*12)),0,$AG308-IFERROR(SUM(OFFSET(AL307,,,-$AE$15*12)),0))-SUM($AL$28:AL307)*(Z309=0))*(Z308=1)</f>
        <v>0</v>
      </c>
      <c r="AM308" s="19">
        <f t="shared" si="134"/>
        <v>0</v>
      </c>
      <c r="AN308" s="19">
        <f t="shared" si="135"/>
        <v>0</v>
      </c>
      <c r="AP308" s="19">
        <f t="shared" ca="1" si="109"/>
        <v>0</v>
      </c>
      <c r="AQ308" s="18">
        <f t="shared" si="110"/>
        <v>0.3716083783573686</v>
      </c>
    </row>
    <row r="309" spans="3:43" x14ac:dyDescent="0.25">
      <c r="C309">
        <f t="shared" si="111"/>
        <v>281</v>
      </c>
      <c r="D309">
        <f t="shared" si="112"/>
        <v>23</v>
      </c>
      <c r="E309" s="12">
        <f t="shared" si="113"/>
        <v>54393</v>
      </c>
      <c r="F309" s="12"/>
      <c r="G309" s="15">
        <f t="shared" si="114"/>
        <v>0</v>
      </c>
      <c r="H309" s="15">
        <f t="shared" si="115"/>
        <v>0</v>
      </c>
      <c r="I309" s="15"/>
      <c r="J309" s="16">
        <f t="shared" si="116"/>
        <v>0</v>
      </c>
      <c r="K309" s="16">
        <f t="shared" si="117"/>
        <v>0</v>
      </c>
      <c r="L309">
        <f t="shared" si="118"/>
        <v>0</v>
      </c>
      <c r="M309">
        <f t="shared" si="119"/>
        <v>0</v>
      </c>
      <c r="N309" s="16">
        <f t="shared" si="120"/>
        <v>0</v>
      </c>
      <c r="O309" s="16"/>
      <c r="P309" s="17">
        <f t="shared" si="121"/>
        <v>0</v>
      </c>
      <c r="Q309">
        <f>Q308/(1+Assumptions!$E$8/12)</f>
        <v>0.37029691013397736</v>
      </c>
      <c r="S309" s="17">
        <f t="shared" si="122"/>
        <v>0</v>
      </c>
      <c r="T309" s="17">
        <f>T308*(1+$K$24)*Z309</f>
        <v>0</v>
      </c>
      <c r="U309" s="17">
        <f t="shared" si="123"/>
        <v>0</v>
      </c>
      <c r="V309" s="17">
        <f t="shared" si="124"/>
        <v>0</v>
      </c>
      <c r="W309" s="17">
        <f t="shared" si="125"/>
        <v>0</v>
      </c>
      <c r="Y309">
        <f>(MONTH(E309)=MONTH(Assumptions!$E$6))*(YEAR(Assumptions!$E$6)=YEAR('Rent v Mortgage'!E309))</f>
        <v>0</v>
      </c>
      <c r="Z309">
        <f>--(SUM($Y$28:Y308)&lt;1)*AA309</f>
        <v>0</v>
      </c>
      <c r="AA309">
        <f t="shared" si="126"/>
        <v>1</v>
      </c>
      <c r="AB309" s="20"/>
      <c r="AC309">
        <f t="shared" si="127"/>
        <v>281</v>
      </c>
      <c r="AD309">
        <f t="shared" si="128"/>
        <v>2048</v>
      </c>
      <c r="AE309" s="12">
        <f t="shared" si="129"/>
        <v>54393</v>
      </c>
      <c r="AG309" s="19">
        <f t="shared" si="130"/>
        <v>0</v>
      </c>
      <c r="AH309" s="19">
        <f t="shared" si="131"/>
        <v>0</v>
      </c>
      <c r="AI309" s="19">
        <f t="shared" si="132"/>
        <v>0</v>
      </c>
      <c r="AK309" s="19">
        <f t="shared" si="133"/>
        <v>0</v>
      </c>
      <c r="AL309" s="19">
        <f ca="1">(IF(MOD(AC309,($AE$15*12)),0,$AG309-IFERROR(SUM(OFFSET(AL308,,,-$AE$15*12)),0))-SUM($AL$28:AL308)*(Z310=0))*(Z309=1)</f>
        <v>0</v>
      </c>
      <c r="AM309" s="19">
        <f t="shared" si="134"/>
        <v>0</v>
      </c>
      <c r="AN309" s="19">
        <f t="shared" si="135"/>
        <v>0</v>
      </c>
      <c r="AP309" s="19">
        <f t="shared" ca="1" si="109"/>
        <v>0</v>
      </c>
      <c r="AQ309" s="18">
        <f t="shared" si="110"/>
        <v>0.37029691013397736</v>
      </c>
    </row>
    <row r="310" spans="3:43" x14ac:dyDescent="0.25">
      <c r="C310">
        <f t="shared" si="111"/>
        <v>282</v>
      </c>
      <c r="D310">
        <f t="shared" si="112"/>
        <v>23</v>
      </c>
      <c r="E310" s="12">
        <f t="shared" si="113"/>
        <v>54424</v>
      </c>
      <c r="F310" s="12"/>
      <c r="G310" s="15">
        <f t="shared" si="114"/>
        <v>0</v>
      </c>
      <c r="H310" s="15">
        <f t="shared" si="115"/>
        <v>0</v>
      </c>
      <c r="I310" s="15"/>
      <c r="J310" s="16">
        <f t="shared" si="116"/>
        <v>0</v>
      </c>
      <c r="K310" s="16">
        <f t="shared" si="117"/>
        <v>0</v>
      </c>
      <c r="L310">
        <f t="shared" si="118"/>
        <v>0</v>
      </c>
      <c r="M310">
        <f t="shared" si="119"/>
        <v>0</v>
      </c>
      <c r="N310" s="16">
        <f t="shared" si="120"/>
        <v>0</v>
      </c>
      <c r="O310" s="16"/>
      <c r="P310" s="17">
        <f t="shared" si="121"/>
        <v>0</v>
      </c>
      <c r="Q310">
        <f>Q309/(1+Assumptions!$E$8/12)</f>
        <v>0.36899007030165892</v>
      </c>
      <c r="S310" s="17">
        <f t="shared" si="122"/>
        <v>0</v>
      </c>
      <c r="T310" s="17">
        <f>T309*(1+$K$24)*Z310</f>
        <v>0</v>
      </c>
      <c r="U310" s="17">
        <f t="shared" si="123"/>
        <v>0</v>
      </c>
      <c r="V310" s="17">
        <f t="shared" si="124"/>
        <v>0</v>
      </c>
      <c r="W310" s="17">
        <f t="shared" si="125"/>
        <v>0</v>
      </c>
      <c r="Y310">
        <f>(MONTH(E310)=MONTH(Assumptions!$E$6))*(YEAR(Assumptions!$E$6)=YEAR('Rent v Mortgage'!E310))</f>
        <v>0</v>
      </c>
      <c r="Z310">
        <f>--(SUM($Y$28:Y309)&lt;1)*AA310</f>
        <v>0</v>
      </c>
      <c r="AA310">
        <f t="shared" si="126"/>
        <v>1</v>
      </c>
      <c r="AB310" s="20"/>
      <c r="AC310">
        <f t="shared" si="127"/>
        <v>282</v>
      </c>
      <c r="AD310">
        <f t="shared" si="128"/>
        <v>2049</v>
      </c>
      <c r="AE310" s="12">
        <f t="shared" si="129"/>
        <v>54424</v>
      </c>
      <c r="AG310" s="19">
        <f t="shared" si="130"/>
        <v>0</v>
      </c>
      <c r="AH310" s="19">
        <f t="shared" si="131"/>
        <v>0</v>
      </c>
      <c r="AI310" s="19">
        <f t="shared" si="132"/>
        <v>0</v>
      </c>
      <c r="AK310" s="19">
        <f t="shared" si="133"/>
        <v>0</v>
      </c>
      <c r="AL310" s="19">
        <f ca="1">(IF(MOD(AC310,($AE$15*12)),0,$AG310-IFERROR(SUM(OFFSET(AL309,,,-$AE$15*12)),0))-SUM($AL$28:AL309)*(Z311=0))*(Z310=1)</f>
        <v>0</v>
      </c>
      <c r="AM310" s="19">
        <f t="shared" si="134"/>
        <v>0</v>
      </c>
      <c r="AN310" s="19">
        <f t="shared" si="135"/>
        <v>0</v>
      </c>
      <c r="AP310" s="19">
        <f t="shared" ca="1" si="109"/>
        <v>0</v>
      </c>
      <c r="AQ310" s="18">
        <f t="shared" si="110"/>
        <v>0.36899007030165892</v>
      </c>
    </row>
    <row r="311" spans="3:43" x14ac:dyDescent="0.25">
      <c r="C311">
        <f t="shared" si="111"/>
        <v>283</v>
      </c>
      <c r="D311">
        <f t="shared" si="112"/>
        <v>23</v>
      </c>
      <c r="E311" s="12">
        <f t="shared" si="113"/>
        <v>54455</v>
      </c>
      <c r="F311" s="12"/>
      <c r="G311" s="15">
        <f t="shared" si="114"/>
        <v>0</v>
      </c>
      <c r="H311" s="15">
        <f t="shared" si="115"/>
        <v>0</v>
      </c>
      <c r="I311" s="15"/>
      <c r="J311" s="16">
        <f t="shared" si="116"/>
        <v>0</v>
      </c>
      <c r="K311" s="16">
        <f t="shared" si="117"/>
        <v>0</v>
      </c>
      <c r="L311">
        <f t="shared" si="118"/>
        <v>0</v>
      </c>
      <c r="M311">
        <f t="shared" si="119"/>
        <v>0</v>
      </c>
      <c r="N311" s="16">
        <f t="shared" si="120"/>
        <v>0</v>
      </c>
      <c r="O311" s="16"/>
      <c r="P311" s="17">
        <f t="shared" si="121"/>
        <v>0</v>
      </c>
      <c r="Q311">
        <f>Q310/(1+Assumptions!$E$8/12)</f>
        <v>0.3676878425260458</v>
      </c>
      <c r="S311" s="17">
        <f t="shared" si="122"/>
        <v>0</v>
      </c>
      <c r="T311" s="17">
        <f>T310*(1+$K$24)*Z311</f>
        <v>0</v>
      </c>
      <c r="U311" s="17">
        <f t="shared" si="123"/>
        <v>0</v>
      </c>
      <c r="V311" s="17">
        <f t="shared" si="124"/>
        <v>0</v>
      </c>
      <c r="W311" s="17">
        <f t="shared" si="125"/>
        <v>0</v>
      </c>
      <c r="Y311">
        <f>(MONTH(E311)=MONTH(Assumptions!$E$6))*(YEAR(Assumptions!$E$6)=YEAR('Rent v Mortgage'!E311))</f>
        <v>0</v>
      </c>
      <c r="Z311">
        <f>--(SUM($Y$28:Y310)&lt;1)*AA311</f>
        <v>0</v>
      </c>
      <c r="AA311">
        <f t="shared" si="126"/>
        <v>1</v>
      </c>
      <c r="AB311" s="20"/>
      <c r="AC311">
        <f t="shared" si="127"/>
        <v>283</v>
      </c>
      <c r="AD311">
        <f t="shared" si="128"/>
        <v>2049</v>
      </c>
      <c r="AE311" s="12">
        <f t="shared" si="129"/>
        <v>54455</v>
      </c>
      <c r="AG311" s="19">
        <f t="shared" si="130"/>
        <v>0</v>
      </c>
      <c r="AH311" s="19">
        <f t="shared" si="131"/>
        <v>0</v>
      </c>
      <c r="AI311" s="19">
        <f t="shared" si="132"/>
        <v>0</v>
      </c>
      <c r="AK311" s="19">
        <f t="shared" si="133"/>
        <v>0</v>
      </c>
      <c r="AL311" s="19">
        <f ca="1">(IF(MOD(AC311,($AE$15*12)),0,$AG311-IFERROR(SUM(OFFSET(AL310,,,-$AE$15*12)),0))-SUM($AL$28:AL310)*(Z312=0))*(Z311=1)</f>
        <v>0</v>
      </c>
      <c r="AM311" s="19">
        <f t="shared" si="134"/>
        <v>0</v>
      </c>
      <c r="AN311" s="19">
        <f t="shared" si="135"/>
        <v>0</v>
      </c>
      <c r="AP311" s="19">
        <f t="shared" ca="1" si="109"/>
        <v>0</v>
      </c>
      <c r="AQ311" s="18">
        <f t="shared" si="110"/>
        <v>0.3676878425260458</v>
      </c>
    </row>
    <row r="312" spans="3:43" x14ac:dyDescent="0.25">
      <c r="C312">
        <f t="shared" si="111"/>
        <v>284</v>
      </c>
      <c r="D312">
        <f t="shared" si="112"/>
        <v>23</v>
      </c>
      <c r="E312" s="12">
        <f t="shared" si="113"/>
        <v>54483</v>
      </c>
      <c r="F312" s="12"/>
      <c r="G312" s="15">
        <f t="shared" si="114"/>
        <v>0</v>
      </c>
      <c r="H312" s="15">
        <f t="shared" si="115"/>
        <v>0</v>
      </c>
      <c r="I312" s="15"/>
      <c r="J312" s="16">
        <f t="shared" si="116"/>
        <v>0</v>
      </c>
      <c r="K312" s="16">
        <f t="shared" si="117"/>
        <v>0</v>
      </c>
      <c r="L312">
        <f t="shared" si="118"/>
        <v>0</v>
      </c>
      <c r="M312">
        <f t="shared" si="119"/>
        <v>0</v>
      </c>
      <c r="N312" s="16">
        <f t="shared" si="120"/>
        <v>0</v>
      </c>
      <c r="O312" s="16"/>
      <c r="P312" s="17">
        <f t="shared" si="121"/>
        <v>0</v>
      </c>
      <c r="Q312">
        <f>Q311/(1+Assumptions!$E$8/12)</f>
        <v>0.3663902105304172</v>
      </c>
      <c r="S312" s="17">
        <f t="shared" si="122"/>
        <v>0</v>
      </c>
      <c r="T312" s="17">
        <f>T311*(1+$K$24)*Z312</f>
        <v>0</v>
      </c>
      <c r="U312" s="17">
        <f t="shared" si="123"/>
        <v>0</v>
      </c>
      <c r="V312" s="17">
        <f t="shared" si="124"/>
        <v>0</v>
      </c>
      <c r="W312" s="17">
        <f t="shared" si="125"/>
        <v>0</v>
      </c>
      <c r="Y312">
        <f>(MONTH(E312)=MONTH(Assumptions!$E$6))*(YEAR(Assumptions!$E$6)=YEAR('Rent v Mortgage'!E312))</f>
        <v>0</v>
      </c>
      <c r="Z312">
        <f>--(SUM($Y$28:Y311)&lt;1)*AA312</f>
        <v>0</v>
      </c>
      <c r="AA312">
        <f t="shared" si="126"/>
        <v>1</v>
      </c>
      <c r="AB312" s="20"/>
      <c r="AC312">
        <f t="shared" si="127"/>
        <v>284</v>
      </c>
      <c r="AD312">
        <f t="shared" si="128"/>
        <v>2049</v>
      </c>
      <c r="AE312" s="12">
        <f t="shared" si="129"/>
        <v>54483</v>
      </c>
      <c r="AG312" s="19">
        <f t="shared" si="130"/>
        <v>0</v>
      </c>
      <c r="AH312" s="19">
        <f t="shared" si="131"/>
        <v>0</v>
      </c>
      <c r="AI312" s="19">
        <f t="shared" si="132"/>
        <v>0</v>
      </c>
      <c r="AK312" s="19">
        <f t="shared" si="133"/>
        <v>0</v>
      </c>
      <c r="AL312" s="19">
        <f ca="1">(IF(MOD(AC312,($AE$15*12)),0,$AG312-IFERROR(SUM(OFFSET(AL311,,,-$AE$15*12)),0))-SUM($AL$28:AL311)*(Z313=0))*(Z312=1)</f>
        <v>0</v>
      </c>
      <c r="AM312" s="19">
        <f t="shared" si="134"/>
        <v>0</v>
      </c>
      <c r="AN312" s="19">
        <f t="shared" si="135"/>
        <v>0</v>
      </c>
      <c r="AP312" s="19">
        <f t="shared" ca="1" si="109"/>
        <v>0</v>
      </c>
      <c r="AQ312" s="18">
        <f t="shared" si="110"/>
        <v>0.3663902105304172</v>
      </c>
    </row>
    <row r="313" spans="3:43" x14ac:dyDescent="0.25">
      <c r="C313">
        <f t="shared" si="111"/>
        <v>285</v>
      </c>
      <c r="D313">
        <f t="shared" si="112"/>
        <v>23</v>
      </c>
      <c r="E313" s="12">
        <f t="shared" si="113"/>
        <v>54514</v>
      </c>
      <c r="F313" s="12"/>
      <c r="G313" s="15">
        <f t="shared" si="114"/>
        <v>0</v>
      </c>
      <c r="H313" s="15">
        <f t="shared" si="115"/>
        <v>0</v>
      </c>
      <c r="I313" s="15"/>
      <c r="J313" s="16">
        <f t="shared" si="116"/>
        <v>0</v>
      </c>
      <c r="K313" s="16">
        <f t="shared" si="117"/>
        <v>0</v>
      </c>
      <c r="L313">
        <f t="shared" si="118"/>
        <v>0</v>
      </c>
      <c r="M313">
        <f t="shared" si="119"/>
        <v>0</v>
      </c>
      <c r="N313" s="16">
        <f t="shared" si="120"/>
        <v>0</v>
      </c>
      <c r="O313" s="16"/>
      <c r="P313" s="17">
        <f t="shared" si="121"/>
        <v>0</v>
      </c>
      <c r="Q313">
        <f>Q312/(1+Assumptions!$E$8/12)</f>
        <v>0.36509715809549564</v>
      </c>
      <c r="S313" s="17">
        <f t="shared" si="122"/>
        <v>0</v>
      </c>
      <c r="T313" s="17">
        <f>T312*(1+$K$24)*Z313</f>
        <v>0</v>
      </c>
      <c r="U313" s="17">
        <f t="shared" si="123"/>
        <v>0</v>
      </c>
      <c r="V313" s="17">
        <f t="shared" si="124"/>
        <v>0</v>
      </c>
      <c r="W313" s="17">
        <f t="shared" si="125"/>
        <v>0</v>
      </c>
      <c r="Y313">
        <f>(MONTH(E313)=MONTH(Assumptions!$E$6))*(YEAR(Assumptions!$E$6)=YEAR('Rent v Mortgage'!E313))</f>
        <v>0</v>
      </c>
      <c r="Z313">
        <f>--(SUM($Y$28:Y312)&lt;1)*AA313</f>
        <v>0</v>
      </c>
      <c r="AA313">
        <f t="shared" si="126"/>
        <v>1</v>
      </c>
      <c r="AB313" s="20"/>
      <c r="AC313">
        <f t="shared" si="127"/>
        <v>285</v>
      </c>
      <c r="AD313">
        <f t="shared" si="128"/>
        <v>2049</v>
      </c>
      <c r="AE313" s="12">
        <f t="shared" si="129"/>
        <v>54514</v>
      </c>
      <c r="AG313" s="19">
        <f t="shared" si="130"/>
        <v>0</v>
      </c>
      <c r="AH313" s="19">
        <f t="shared" si="131"/>
        <v>0</v>
      </c>
      <c r="AI313" s="19">
        <f t="shared" si="132"/>
        <v>0</v>
      </c>
      <c r="AK313" s="19">
        <f t="shared" si="133"/>
        <v>0</v>
      </c>
      <c r="AL313" s="19">
        <f ca="1">(IF(MOD(AC313,($AE$15*12)),0,$AG313-IFERROR(SUM(OFFSET(AL312,,,-$AE$15*12)),0))-SUM($AL$28:AL312)*(Z314=0))*(Z313=1)</f>
        <v>0</v>
      </c>
      <c r="AM313" s="19">
        <f t="shared" si="134"/>
        <v>0</v>
      </c>
      <c r="AN313" s="19">
        <f t="shared" si="135"/>
        <v>0</v>
      </c>
      <c r="AP313" s="19">
        <f t="shared" ca="1" si="109"/>
        <v>0</v>
      </c>
      <c r="AQ313" s="18">
        <f t="shared" si="110"/>
        <v>0.36509715809549564</v>
      </c>
    </row>
    <row r="314" spans="3:43" x14ac:dyDescent="0.25">
      <c r="C314">
        <f t="shared" si="111"/>
        <v>286</v>
      </c>
      <c r="D314">
        <f t="shared" si="112"/>
        <v>23</v>
      </c>
      <c r="E314" s="12">
        <f t="shared" si="113"/>
        <v>54544</v>
      </c>
      <c r="F314" s="12"/>
      <c r="G314" s="15">
        <f t="shared" si="114"/>
        <v>0</v>
      </c>
      <c r="H314" s="15">
        <f t="shared" si="115"/>
        <v>0</v>
      </c>
      <c r="I314" s="15"/>
      <c r="J314" s="16">
        <f t="shared" si="116"/>
        <v>0</v>
      </c>
      <c r="K314" s="16">
        <f t="shared" si="117"/>
        <v>0</v>
      </c>
      <c r="L314">
        <f t="shared" si="118"/>
        <v>0</v>
      </c>
      <c r="M314">
        <f t="shared" si="119"/>
        <v>0</v>
      </c>
      <c r="N314" s="16">
        <f t="shared" si="120"/>
        <v>0</v>
      </c>
      <c r="O314" s="16"/>
      <c r="P314" s="17">
        <f t="shared" si="121"/>
        <v>0</v>
      </c>
      <c r="Q314">
        <f>Q313/(1+Assumptions!$E$8/12)</f>
        <v>0.36380866905924414</v>
      </c>
      <c r="S314" s="17">
        <f t="shared" si="122"/>
        <v>0</v>
      </c>
      <c r="T314" s="17">
        <f>T313*(1+$K$24)*Z314</f>
        <v>0</v>
      </c>
      <c r="U314" s="17">
        <f t="shared" si="123"/>
        <v>0</v>
      </c>
      <c r="V314" s="17">
        <f t="shared" si="124"/>
        <v>0</v>
      </c>
      <c r="W314" s="17">
        <f t="shared" si="125"/>
        <v>0</v>
      </c>
      <c r="Y314">
        <f>(MONTH(E314)=MONTH(Assumptions!$E$6))*(YEAR(Assumptions!$E$6)=YEAR('Rent v Mortgage'!E314))</f>
        <v>0</v>
      </c>
      <c r="Z314">
        <f>--(SUM($Y$28:Y313)&lt;1)*AA314</f>
        <v>0</v>
      </c>
      <c r="AA314">
        <f t="shared" si="126"/>
        <v>1</v>
      </c>
      <c r="AB314" s="20"/>
      <c r="AC314">
        <f t="shared" si="127"/>
        <v>286</v>
      </c>
      <c r="AD314">
        <f t="shared" si="128"/>
        <v>2049</v>
      </c>
      <c r="AE314" s="12">
        <f t="shared" si="129"/>
        <v>54544</v>
      </c>
      <c r="AG314" s="19">
        <f t="shared" si="130"/>
        <v>0</v>
      </c>
      <c r="AH314" s="19">
        <f t="shared" si="131"/>
        <v>0</v>
      </c>
      <c r="AI314" s="19">
        <f t="shared" si="132"/>
        <v>0</v>
      </c>
      <c r="AK314" s="19">
        <f t="shared" si="133"/>
        <v>0</v>
      </c>
      <c r="AL314" s="19">
        <f ca="1">(IF(MOD(AC314,($AE$15*12)),0,$AG314-IFERROR(SUM(OFFSET(AL313,,,-$AE$15*12)),0))-SUM($AL$28:AL313)*(Z315=0))*(Z314=1)</f>
        <v>0</v>
      </c>
      <c r="AM314" s="19">
        <f t="shared" si="134"/>
        <v>0</v>
      </c>
      <c r="AN314" s="19">
        <f t="shared" si="135"/>
        <v>0</v>
      </c>
      <c r="AP314" s="19">
        <f t="shared" ca="1" si="109"/>
        <v>0</v>
      </c>
      <c r="AQ314" s="18">
        <f t="shared" si="110"/>
        <v>0.36380866905924414</v>
      </c>
    </row>
    <row r="315" spans="3:43" x14ac:dyDescent="0.25">
      <c r="C315">
        <f t="shared" si="111"/>
        <v>287</v>
      </c>
      <c r="D315">
        <f t="shared" si="112"/>
        <v>23</v>
      </c>
      <c r="E315" s="12">
        <f t="shared" si="113"/>
        <v>54575</v>
      </c>
      <c r="F315" s="12"/>
      <c r="G315" s="15">
        <f t="shared" si="114"/>
        <v>0</v>
      </c>
      <c r="H315" s="15">
        <f t="shared" si="115"/>
        <v>0</v>
      </c>
      <c r="I315" s="15"/>
      <c r="J315" s="16">
        <f t="shared" si="116"/>
        <v>0</v>
      </c>
      <c r="K315" s="16">
        <f t="shared" si="117"/>
        <v>0</v>
      </c>
      <c r="L315">
        <f t="shared" si="118"/>
        <v>0</v>
      </c>
      <c r="M315">
        <f t="shared" si="119"/>
        <v>0</v>
      </c>
      <c r="N315" s="16">
        <f t="shared" si="120"/>
        <v>0</v>
      </c>
      <c r="O315" s="16"/>
      <c r="P315" s="17">
        <f t="shared" si="121"/>
        <v>0</v>
      </c>
      <c r="Q315">
        <f>Q314/(1+Assumptions!$E$8/12)</f>
        <v>0.36252472731666424</v>
      </c>
      <c r="S315" s="17">
        <f t="shared" si="122"/>
        <v>0</v>
      </c>
      <c r="T315" s="17">
        <f>T314*(1+$K$24)*Z315</f>
        <v>0</v>
      </c>
      <c r="U315" s="17">
        <f t="shared" si="123"/>
        <v>0</v>
      </c>
      <c r="V315" s="17">
        <f t="shared" si="124"/>
        <v>0</v>
      </c>
      <c r="W315" s="17">
        <f t="shared" si="125"/>
        <v>0</v>
      </c>
      <c r="Y315">
        <f>(MONTH(E315)=MONTH(Assumptions!$E$6))*(YEAR(Assumptions!$E$6)=YEAR('Rent v Mortgage'!E315))</f>
        <v>0</v>
      </c>
      <c r="Z315">
        <f>--(SUM($Y$28:Y314)&lt;1)*AA315</f>
        <v>0</v>
      </c>
      <c r="AA315">
        <f t="shared" si="126"/>
        <v>1</v>
      </c>
      <c r="AB315" s="20"/>
      <c r="AC315">
        <f t="shared" si="127"/>
        <v>287</v>
      </c>
      <c r="AD315">
        <f t="shared" si="128"/>
        <v>2049</v>
      </c>
      <c r="AE315" s="12">
        <f t="shared" si="129"/>
        <v>54575</v>
      </c>
      <c r="AG315" s="19">
        <f t="shared" si="130"/>
        <v>0</v>
      </c>
      <c r="AH315" s="19">
        <f t="shared" si="131"/>
        <v>0</v>
      </c>
      <c r="AI315" s="19">
        <f t="shared" si="132"/>
        <v>0</v>
      </c>
      <c r="AK315" s="19">
        <f t="shared" si="133"/>
        <v>0</v>
      </c>
      <c r="AL315" s="19">
        <f ca="1">(IF(MOD(AC315,($AE$15*12)),0,$AG315-IFERROR(SUM(OFFSET(AL314,,,-$AE$15*12)),0))-SUM($AL$28:AL314)*(Z316=0))*(Z315=1)</f>
        <v>0</v>
      </c>
      <c r="AM315" s="19">
        <f t="shared" si="134"/>
        <v>0</v>
      </c>
      <c r="AN315" s="19">
        <f t="shared" si="135"/>
        <v>0</v>
      </c>
      <c r="AP315" s="19">
        <f t="shared" ca="1" si="109"/>
        <v>0</v>
      </c>
      <c r="AQ315" s="18">
        <f t="shared" si="110"/>
        <v>0.36252472731666424</v>
      </c>
    </row>
    <row r="316" spans="3:43" x14ac:dyDescent="0.25">
      <c r="C316">
        <f t="shared" si="111"/>
        <v>288</v>
      </c>
      <c r="D316">
        <f t="shared" si="112"/>
        <v>24</v>
      </c>
      <c r="E316" s="12">
        <f t="shared" si="113"/>
        <v>54605</v>
      </c>
      <c r="F316" s="12"/>
      <c r="G316" s="15">
        <f t="shared" si="114"/>
        <v>0</v>
      </c>
      <c r="H316" s="15">
        <f t="shared" si="115"/>
        <v>0</v>
      </c>
      <c r="I316" s="15"/>
      <c r="J316" s="16">
        <f t="shared" si="116"/>
        <v>0</v>
      </c>
      <c r="K316" s="16">
        <f t="shared" si="117"/>
        <v>0</v>
      </c>
      <c r="L316">
        <f t="shared" si="118"/>
        <v>0</v>
      </c>
      <c r="M316">
        <f t="shared" si="119"/>
        <v>0</v>
      </c>
      <c r="N316" s="16">
        <f t="shared" si="120"/>
        <v>0</v>
      </c>
      <c r="O316" s="16"/>
      <c r="P316" s="17">
        <f t="shared" si="121"/>
        <v>0</v>
      </c>
      <c r="Q316">
        <f>Q315/(1+Assumptions!$E$8/12)</f>
        <v>0.36124531681959482</v>
      </c>
      <c r="S316" s="17">
        <f t="shared" si="122"/>
        <v>0</v>
      </c>
      <c r="T316" s="17">
        <f>T315*(1+$K$24)*Z316</f>
        <v>0</v>
      </c>
      <c r="U316" s="17">
        <f t="shared" si="123"/>
        <v>0</v>
      </c>
      <c r="V316" s="17">
        <f t="shared" si="124"/>
        <v>0</v>
      </c>
      <c r="W316" s="17">
        <f t="shared" si="125"/>
        <v>0</v>
      </c>
      <c r="Y316">
        <f>(MONTH(E316)=MONTH(Assumptions!$E$6))*(YEAR(Assumptions!$E$6)=YEAR('Rent v Mortgage'!E316))</f>
        <v>0</v>
      </c>
      <c r="Z316">
        <f>--(SUM($Y$28:Y315)&lt;1)*AA316</f>
        <v>0</v>
      </c>
      <c r="AA316">
        <f t="shared" si="126"/>
        <v>1</v>
      </c>
      <c r="AB316" s="20"/>
      <c r="AC316">
        <f t="shared" si="127"/>
        <v>288</v>
      </c>
      <c r="AD316">
        <f t="shared" si="128"/>
        <v>2049</v>
      </c>
      <c r="AE316" s="12">
        <f t="shared" si="129"/>
        <v>54605</v>
      </c>
      <c r="AG316" s="19">
        <f t="shared" si="130"/>
        <v>0</v>
      </c>
      <c r="AH316" s="19">
        <f t="shared" si="131"/>
        <v>0</v>
      </c>
      <c r="AI316" s="19">
        <f t="shared" si="132"/>
        <v>0</v>
      </c>
      <c r="AK316" s="19">
        <f t="shared" si="133"/>
        <v>0</v>
      </c>
      <c r="AL316" s="19">
        <f ca="1">(IF(MOD(AC316,($AE$15*12)),0,$AG316-IFERROR(SUM(OFFSET(AL315,,,-$AE$15*12)),0))-SUM($AL$28:AL315)*(Z317=0))*(Z316=1)</f>
        <v>0</v>
      </c>
      <c r="AM316" s="19">
        <f t="shared" si="134"/>
        <v>0</v>
      </c>
      <c r="AN316" s="19">
        <f t="shared" si="135"/>
        <v>0</v>
      </c>
      <c r="AP316" s="19">
        <f t="shared" ca="1" si="109"/>
        <v>0</v>
      </c>
      <c r="AQ316" s="18">
        <f t="shared" si="110"/>
        <v>0.36124531681959482</v>
      </c>
    </row>
    <row r="317" spans="3:43" x14ac:dyDescent="0.25">
      <c r="C317">
        <f t="shared" si="111"/>
        <v>289</v>
      </c>
      <c r="D317">
        <f t="shared" si="112"/>
        <v>24</v>
      </c>
      <c r="E317" s="12">
        <f t="shared" si="113"/>
        <v>54636</v>
      </c>
      <c r="F317" s="12"/>
      <c r="G317" s="15">
        <f t="shared" si="114"/>
        <v>0</v>
      </c>
      <c r="H317" s="15">
        <f t="shared" si="115"/>
        <v>0</v>
      </c>
      <c r="I317" s="15"/>
      <c r="J317" s="16">
        <f t="shared" si="116"/>
        <v>0</v>
      </c>
      <c r="K317" s="16">
        <f t="shared" si="117"/>
        <v>0</v>
      </c>
      <c r="L317">
        <f t="shared" si="118"/>
        <v>0</v>
      </c>
      <c r="M317">
        <f t="shared" si="119"/>
        <v>0</v>
      </c>
      <c r="N317" s="16">
        <f t="shared" si="120"/>
        <v>0</v>
      </c>
      <c r="O317" s="16"/>
      <c r="P317" s="17">
        <f t="shared" si="121"/>
        <v>0</v>
      </c>
      <c r="Q317">
        <f>Q316/(1+Assumptions!$E$8/12)</f>
        <v>0.35997042157651132</v>
      </c>
      <c r="S317" s="17">
        <f t="shared" si="122"/>
        <v>0</v>
      </c>
      <c r="T317" s="17">
        <f>T316*(1+$K$24)*Z317</f>
        <v>0</v>
      </c>
      <c r="U317" s="17">
        <f t="shared" si="123"/>
        <v>0</v>
      </c>
      <c r="V317" s="17">
        <f t="shared" si="124"/>
        <v>0</v>
      </c>
      <c r="W317" s="17">
        <f t="shared" si="125"/>
        <v>0</v>
      </c>
      <c r="Y317">
        <f>(MONTH(E317)=MONTH(Assumptions!$E$6))*(YEAR(Assumptions!$E$6)=YEAR('Rent v Mortgage'!E317))</f>
        <v>0</v>
      </c>
      <c r="Z317">
        <f>--(SUM($Y$28:Y316)&lt;1)*AA317</f>
        <v>0</v>
      </c>
      <c r="AA317">
        <f t="shared" si="126"/>
        <v>1</v>
      </c>
      <c r="AB317" s="20"/>
      <c r="AC317">
        <f t="shared" si="127"/>
        <v>289</v>
      </c>
      <c r="AD317">
        <f t="shared" si="128"/>
        <v>2049</v>
      </c>
      <c r="AE317" s="12">
        <f t="shared" si="129"/>
        <v>54636</v>
      </c>
      <c r="AG317" s="19">
        <f t="shared" si="130"/>
        <v>0</v>
      </c>
      <c r="AH317" s="19">
        <f t="shared" si="131"/>
        <v>0</v>
      </c>
      <c r="AI317" s="19">
        <f t="shared" si="132"/>
        <v>0</v>
      </c>
      <c r="AK317" s="19">
        <f t="shared" si="133"/>
        <v>0</v>
      </c>
      <c r="AL317" s="19">
        <f ca="1">(IF(MOD(AC317,($AE$15*12)),0,$AG317-IFERROR(SUM(OFFSET(AL316,,,-$AE$15*12)),0))-SUM($AL$28:AL316)*(Z318=0))*(Z317=1)</f>
        <v>0</v>
      </c>
      <c r="AM317" s="19">
        <f t="shared" si="134"/>
        <v>0</v>
      </c>
      <c r="AN317" s="19">
        <f t="shared" si="135"/>
        <v>0</v>
      </c>
      <c r="AP317" s="19">
        <f t="shared" ca="1" si="109"/>
        <v>0</v>
      </c>
      <c r="AQ317" s="18">
        <f t="shared" si="110"/>
        <v>0.35997042157651132</v>
      </c>
    </row>
    <row r="318" spans="3:43" x14ac:dyDescent="0.25">
      <c r="C318">
        <f t="shared" si="111"/>
        <v>290</v>
      </c>
      <c r="D318">
        <f t="shared" si="112"/>
        <v>24</v>
      </c>
      <c r="E318" s="12">
        <f t="shared" si="113"/>
        <v>54667</v>
      </c>
      <c r="F318" s="12"/>
      <c r="G318" s="15">
        <f t="shared" si="114"/>
        <v>0</v>
      </c>
      <c r="H318" s="15">
        <f t="shared" si="115"/>
        <v>0</v>
      </c>
      <c r="I318" s="15"/>
      <c r="J318" s="16">
        <f t="shared" si="116"/>
        <v>0</v>
      </c>
      <c r="K318" s="16">
        <f t="shared" si="117"/>
        <v>0</v>
      </c>
      <c r="L318">
        <f t="shared" si="118"/>
        <v>0</v>
      </c>
      <c r="M318">
        <f t="shared" si="119"/>
        <v>0</v>
      </c>
      <c r="N318" s="16">
        <f t="shared" si="120"/>
        <v>0</v>
      </c>
      <c r="O318" s="16"/>
      <c r="P318" s="17">
        <f t="shared" si="121"/>
        <v>0</v>
      </c>
      <c r="Q318">
        <f>Q317/(1+Assumptions!$E$8/12)</f>
        <v>0.35870002565232595</v>
      </c>
      <c r="S318" s="17">
        <f t="shared" si="122"/>
        <v>0</v>
      </c>
      <c r="T318" s="17">
        <f>T317*(1+$K$24)*Z318</f>
        <v>0</v>
      </c>
      <c r="U318" s="17">
        <f t="shared" si="123"/>
        <v>0</v>
      </c>
      <c r="V318" s="17">
        <f t="shared" si="124"/>
        <v>0</v>
      </c>
      <c r="W318" s="17">
        <f t="shared" si="125"/>
        <v>0</v>
      </c>
      <c r="Y318">
        <f>(MONTH(E318)=MONTH(Assumptions!$E$6))*(YEAR(Assumptions!$E$6)=YEAR('Rent v Mortgage'!E318))</f>
        <v>0</v>
      </c>
      <c r="Z318">
        <f>--(SUM($Y$28:Y317)&lt;1)*AA318</f>
        <v>0</v>
      </c>
      <c r="AA318">
        <f t="shared" si="126"/>
        <v>1</v>
      </c>
      <c r="AB318" s="20"/>
      <c r="AC318">
        <f t="shared" si="127"/>
        <v>290</v>
      </c>
      <c r="AD318">
        <f t="shared" si="128"/>
        <v>2049</v>
      </c>
      <c r="AE318" s="12">
        <f t="shared" si="129"/>
        <v>54667</v>
      </c>
      <c r="AG318" s="19">
        <f t="shared" si="130"/>
        <v>0</v>
      </c>
      <c r="AH318" s="19">
        <f t="shared" si="131"/>
        <v>0</v>
      </c>
      <c r="AI318" s="19">
        <f t="shared" si="132"/>
        <v>0</v>
      </c>
      <c r="AK318" s="19">
        <f t="shared" si="133"/>
        <v>0</v>
      </c>
      <c r="AL318" s="19">
        <f ca="1">(IF(MOD(AC318,($AE$15*12)),0,$AG318-IFERROR(SUM(OFFSET(AL317,,,-$AE$15*12)),0))-SUM($AL$28:AL317)*(Z319=0))*(Z318=1)</f>
        <v>0</v>
      </c>
      <c r="AM318" s="19">
        <f t="shared" si="134"/>
        <v>0</v>
      </c>
      <c r="AN318" s="19">
        <f t="shared" si="135"/>
        <v>0</v>
      </c>
      <c r="AP318" s="19">
        <f t="shared" ca="1" si="109"/>
        <v>0</v>
      </c>
      <c r="AQ318" s="18">
        <f t="shared" si="110"/>
        <v>0.35870002565232595</v>
      </c>
    </row>
    <row r="319" spans="3:43" x14ac:dyDescent="0.25">
      <c r="C319">
        <f t="shared" si="111"/>
        <v>291</v>
      </c>
      <c r="D319">
        <f t="shared" si="112"/>
        <v>24</v>
      </c>
      <c r="E319" s="12">
        <f t="shared" si="113"/>
        <v>54697</v>
      </c>
      <c r="F319" s="12"/>
      <c r="G319" s="15">
        <f t="shared" si="114"/>
        <v>0</v>
      </c>
      <c r="H319" s="15">
        <f t="shared" si="115"/>
        <v>0</v>
      </c>
      <c r="I319" s="15"/>
      <c r="J319" s="16">
        <f t="shared" si="116"/>
        <v>0</v>
      </c>
      <c r="K319" s="16">
        <f t="shared" si="117"/>
        <v>0</v>
      </c>
      <c r="L319">
        <f t="shared" si="118"/>
        <v>0</v>
      </c>
      <c r="M319">
        <f t="shared" si="119"/>
        <v>0</v>
      </c>
      <c r="N319" s="16">
        <f t="shared" si="120"/>
        <v>0</v>
      </c>
      <c r="O319" s="16"/>
      <c r="P319" s="17">
        <f t="shared" si="121"/>
        <v>0</v>
      </c>
      <c r="Q319">
        <f>Q318/(1+Assumptions!$E$8/12)</f>
        <v>0.35743411316818857</v>
      </c>
      <c r="S319" s="17">
        <f t="shared" si="122"/>
        <v>0</v>
      </c>
      <c r="T319" s="17">
        <f>T318*(1+$K$24)*Z319</f>
        <v>0</v>
      </c>
      <c r="U319" s="17">
        <f t="shared" si="123"/>
        <v>0</v>
      </c>
      <c r="V319" s="17">
        <f t="shared" si="124"/>
        <v>0</v>
      </c>
      <c r="W319" s="17">
        <f t="shared" si="125"/>
        <v>0</v>
      </c>
      <c r="Y319">
        <f>(MONTH(E319)=MONTH(Assumptions!$E$6))*(YEAR(Assumptions!$E$6)=YEAR('Rent v Mortgage'!E319))</f>
        <v>0</v>
      </c>
      <c r="Z319">
        <f>--(SUM($Y$28:Y318)&lt;1)*AA319</f>
        <v>0</v>
      </c>
      <c r="AA319">
        <f t="shared" si="126"/>
        <v>1</v>
      </c>
      <c r="AB319" s="20"/>
      <c r="AC319">
        <f t="shared" si="127"/>
        <v>291</v>
      </c>
      <c r="AD319">
        <f t="shared" si="128"/>
        <v>2049</v>
      </c>
      <c r="AE319" s="12">
        <f t="shared" si="129"/>
        <v>54697</v>
      </c>
      <c r="AG319" s="19">
        <f t="shared" si="130"/>
        <v>0</v>
      </c>
      <c r="AH319" s="19">
        <f t="shared" si="131"/>
        <v>0</v>
      </c>
      <c r="AI319" s="19">
        <f t="shared" si="132"/>
        <v>0</v>
      </c>
      <c r="AK319" s="19">
        <f t="shared" si="133"/>
        <v>0</v>
      </c>
      <c r="AL319" s="19">
        <f ca="1">(IF(MOD(AC319,($AE$15*12)),0,$AG319-IFERROR(SUM(OFFSET(AL318,,,-$AE$15*12)),0))-SUM($AL$28:AL318)*(Z320=0))*(Z319=1)</f>
        <v>0</v>
      </c>
      <c r="AM319" s="19">
        <f t="shared" si="134"/>
        <v>0</v>
      </c>
      <c r="AN319" s="19">
        <f t="shared" si="135"/>
        <v>0</v>
      </c>
      <c r="AP319" s="19">
        <f t="shared" ca="1" si="109"/>
        <v>0</v>
      </c>
      <c r="AQ319" s="18">
        <f t="shared" si="110"/>
        <v>0.35743411316818857</v>
      </c>
    </row>
    <row r="320" spans="3:43" x14ac:dyDescent="0.25">
      <c r="C320">
        <f t="shared" si="111"/>
        <v>292</v>
      </c>
      <c r="D320">
        <f t="shared" si="112"/>
        <v>24</v>
      </c>
      <c r="E320" s="12">
        <f t="shared" si="113"/>
        <v>54728</v>
      </c>
      <c r="F320" s="12"/>
      <c r="G320" s="15">
        <f t="shared" si="114"/>
        <v>0</v>
      </c>
      <c r="H320" s="15">
        <f t="shared" si="115"/>
        <v>0</v>
      </c>
      <c r="I320" s="15"/>
      <c r="J320" s="16">
        <f t="shared" si="116"/>
        <v>0</v>
      </c>
      <c r="K320" s="16">
        <f t="shared" si="117"/>
        <v>0</v>
      </c>
      <c r="L320">
        <f t="shared" si="118"/>
        <v>0</v>
      </c>
      <c r="M320">
        <f t="shared" si="119"/>
        <v>0</v>
      </c>
      <c r="N320" s="16">
        <f t="shared" si="120"/>
        <v>0</v>
      </c>
      <c r="O320" s="16"/>
      <c r="P320" s="17">
        <f t="shared" si="121"/>
        <v>0</v>
      </c>
      <c r="Q320">
        <f>Q319/(1+Assumptions!$E$8/12)</f>
        <v>0.35617266830128813</v>
      </c>
      <c r="S320" s="17">
        <f t="shared" si="122"/>
        <v>0</v>
      </c>
      <c r="T320" s="17">
        <f>T319*(1+$K$24)*Z320</f>
        <v>0</v>
      </c>
      <c r="U320" s="17">
        <f t="shared" si="123"/>
        <v>0</v>
      </c>
      <c r="V320" s="17">
        <f t="shared" si="124"/>
        <v>0</v>
      </c>
      <c r="W320" s="17">
        <f t="shared" si="125"/>
        <v>0</v>
      </c>
      <c r="Y320">
        <f>(MONTH(E320)=MONTH(Assumptions!$E$6))*(YEAR(Assumptions!$E$6)=YEAR('Rent v Mortgage'!E320))</f>
        <v>0</v>
      </c>
      <c r="Z320">
        <f>--(SUM($Y$28:Y319)&lt;1)*AA320</f>
        <v>0</v>
      </c>
      <c r="AA320">
        <f t="shared" si="126"/>
        <v>1</v>
      </c>
      <c r="AB320" s="20"/>
      <c r="AC320">
        <f t="shared" si="127"/>
        <v>292</v>
      </c>
      <c r="AD320">
        <f t="shared" si="128"/>
        <v>2049</v>
      </c>
      <c r="AE320" s="12">
        <f t="shared" si="129"/>
        <v>54728</v>
      </c>
      <c r="AG320" s="19">
        <f t="shared" si="130"/>
        <v>0</v>
      </c>
      <c r="AH320" s="19">
        <f t="shared" si="131"/>
        <v>0</v>
      </c>
      <c r="AI320" s="19">
        <f t="shared" si="132"/>
        <v>0</v>
      </c>
      <c r="AK320" s="19">
        <f t="shared" si="133"/>
        <v>0</v>
      </c>
      <c r="AL320" s="19">
        <f ca="1">(IF(MOD(AC320,($AE$15*12)),0,$AG320-IFERROR(SUM(OFFSET(AL319,,,-$AE$15*12)),0))-SUM($AL$28:AL319)*(Z321=0))*(Z320=1)</f>
        <v>0</v>
      </c>
      <c r="AM320" s="19">
        <f t="shared" si="134"/>
        <v>0</v>
      </c>
      <c r="AN320" s="19">
        <f t="shared" si="135"/>
        <v>0</v>
      </c>
      <c r="AP320" s="19">
        <f t="shared" ca="1" si="109"/>
        <v>0</v>
      </c>
      <c r="AQ320" s="18">
        <f t="shared" si="110"/>
        <v>0.35617266830128813</v>
      </c>
    </row>
    <row r="321" spans="3:43" x14ac:dyDescent="0.25">
      <c r="C321">
        <f t="shared" si="111"/>
        <v>293</v>
      </c>
      <c r="D321">
        <f t="shared" si="112"/>
        <v>24</v>
      </c>
      <c r="E321" s="12">
        <f t="shared" si="113"/>
        <v>54758</v>
      </c>
      <c r="F321" s="12"/>
      <c r="G321" s="15">
        <f t="shared" si="114"/>
        <v>0</v>
      </c>
      <c r="H321" s="15">
        <f t="shared" si="115"/>
        <v>0</v>
      </c>
      <c r="I321" s="15"/>
      <c r="J321" s="16">
        <f t="shared" si="116"/>
        <v>0</v>
      </c>
      <c r="K321" s="16">
        <f t="shared" si="117"/>
        <v>0</v>
      </c>
      <c r="L321">
        <f t="shared" si="118"/>
        <v>0</v>
      </c>
      <c r="M321">
        <f t="shared" si="119"/>
        <v>0</v>
      </c>
      <c r="N321" s="16">
        <f t="shared" si="120"/>
        <v>0</v>
      </c>
      <c r="O321" s="16"/>
      <c r="P321" s="17">
        <f t="shared" si="121"/>
        <v>0</v>
      </c>
      <c r="Q321">
        <f>Q320/(1+Assumptions!$E$8/12)</f>
        <v>0.35491567528465495</v>
      </c>
      <c r="S321" s="17">
        <f t="shared" si="122"/>
        <v>0</v>
      </c>
      <c r="T321" s="17">
        <f>T320*(1+$K$24)*Z321</f>
        <v>0</v>
      </c>
      <c r="U321" s="17">
        <f t="shared" si="123"/>
        <v>0</v>
      </c>
      <c r="V321" s="17">
        <f t="shared" si="124"/>
        <v>0</v>
      </c>
      <c r="W321" s="17">
        <f t="shared" si="125"/>
        <v>0</v>
      </c>
      <c r="Y321">
        <f>(MONTH(E321)=MONTH(Assumptions!$E$6))*(YEAR(Assumptions!$E$6)=YEAR('Rent v Mortgage'!E321))</f>
        <v>0</v>
      </c>
      <c r="Z321">
        <f>--(SUM($Y$28:Y320)&lt;1)*AA321</f>
        <v>0</v>
      </c>
      <c r="AA321">
        <f t="shared" si="126"/>
        <v>1</v>
      </c>
      <c r="AB321" s="20"/>
      <c r="AC321">
        <f t="shared" si="127"/>
        <v>293</v>
      </c>
      <c r="AD321">
        <f t="shared" si="128"/>
        <v>2049</v>
      </c>
      <c r="AE321" s="12">
        <f t="shared" si="129"/>
        <v>54758</v>
      </c>
      <c r="AG321" s="19">
        <f t="shared" si="130"/>
        <v>0</v>
      </c>
      <c r="AH321" s="19">
        <f t="shared" si="131"/>
        <v>0</v>
      </c>
      <c r="AI321" s="19">
        <f t="shared" si="132"/>
        <v>0</v>
      </c>
      <c r="AK321" s="19">
        <f t="shared" si="133"/>
        <v>0</v>
      </c>
      <c r="AL321" s="19">
        <f ca="1">(IF(MOD(AC321,($AE$15*12)),0,$AG321-IFERROR(SUM(OFFSET(AL320,,,-$AE$15*12)),0))-SUM($AL$28:AL320)*(Z322=0))*(Z321=1)</f>
        <v>0</v>
      </c>
      <c r="AM321" s="19">
        <f t="shared" si="134"/>
        <v>0</v>
      </c>
      <c r="AN321" s="19">
        <f t="shared" si="135"/>
        <v>0</v>
      </c>
      <c r="AP321" s="19">
        <f t="shared" ca="1" si="109"/>
        <v>0</v>
      </c>
      <c r="AQ321" s="18">
        <f t="shared" si="110"/>
        <v>0.35491567528465495</v>
      </c>
    </row>
    <row r="322" spans="3:43" x14ac:dyDescent="0.25">
      <c r="C322">
        <f t="shared" si="111"/>
        <v>294</v>
      </c>
      <c r="D322">
        <f t="shared" si="112"/>
        <v>24</v>
      </c>
      <c r="E322" s="12">
        <f t="shared" si="113"/>
        <v>54789</v>
      </c>
      <c r="F322" s="12"/>
      <c r="G322" s="15">
        <f t="shared" si="114"/>
        <v>0</v>
      </c>
      <c r="H322" s="15">
        <f t="shared" si="115"/>
        <v>0</v>
      </c>
      <c r="I322" s="15"/>
      <c r="J322" s="16">
        <f t="shared" si="116"/>
        <v>0</v>
      </c>
      <c r="K322" s="16">
        <f t="shared" si="117"/>
        <v>0</v>
      </c>
      <c r="L322">
        <f t="shared" si="118"/>
        <v>0</v>
      </c>
      <c r="M322">
        <f t="shared" si="119"/>
        <v>0</v>
      </c>
      <c r="N322" s="16">
        <f t="shared" si="120"/>
        <v>0</v>
      </c>
      <c r="O322" s="16"/>
      <c r="P322" s="17">
        <f t="shared" si="121"/>
        <v>0</v>
      </c>
      <c r="Q322">
        <f>Q321/(1+Assumptions!$E$8/12)</f>
        <v>0.35366311840696357</v>
      </c>
      <c r="S322" s="17">
        <f t="shared" si="122"/>
        <v>0</v>
      </c>
      <c r="T322" s="17">
        <f>T321*(1+$K$24)*Z322</f>
        <v>0</v>
      </c>
      <c r="U322" s="17">
        <f t="shared" si="123"/>
        <v>0</v>
      </c>
      <c r="V322" s="17">
        <f t="shared" si="124"/>
        <v>0</v>
      </c>
      <c r="W322" s="17">
        <f t="shared" si="125"/>
        <v>0</v>
      </c>
      <c r="Y322">
        <f>(MONTH(E322)=MONTH(Assumptions!$E$6))*(YEAR(Assumptions!$E$6)=YEAR('Rent v Mortgage'!E322))</f>
        <v>0</v>
      </c>
      <c r="Z322">
        <f>--(SUM($Y$28:Y321)&lt;1)*AA322</f>
        <v>0</v>
      </c>
      <c r="AA322">
        <f t="shared" si="126"/>
        <v>1</v>
      </c>
      <c r="AB322" s="20"/>
      <c r="AC322">
        <f t="shared" si="127"/>
        <v>294</v>
      </c>
      <c r="AD322">
        <f t="shared" si="128"/>
        <v>2050</v>
      </c>
      <c r="AE322" s="12">
        <f t="shared" si="129"/>
        <v>54789</v>
      </c>
      <c r="AG322" s="19">
        <f t="shared" si="130"/>
        <v>0</v>
      </c>
      <c r="AH322" s="19">
        <f t="shared" si="131"/>
        <v>0</v>
      </c>
      <c r="AI322" s="19">
        <f t="shared" si="132"/>
        <v>0</v>
      </c>
      <c r="AK322" s="19">
        <f t="shared" si="133"/>
        <v>0</v>
      </c>
      <c r="AL322" s="19">
        <f ca="1">(IF(MOD(AC322,($AE$15*12)),0,$AG322-IFERROR(SUM(OFFSET(AL321,,,-$AE$15*12)),0))-SUM($AL$28:AL321)*(Z323=0))*(Z322=1)</f>
        <v>0</v>
      </c>
      <c r="AM322" s="19">
        <f t="shared" si="134"/>
        <v>0</v>
      </c>
      <c r="AN322" s="19">
        <f t="shared" si="135"/>
        <v>0</v>
      </c>
      <c r="AP322" s="19">
        <f t="shared" ca="1" si="109"/>
        <v>0</v>
      </c>
      <c r="AQ322" s="18">
        <f t="shared" si="110"/>
        <v>0.35366311840696357</v>
      </c>
    </row>
    <row r="323" spans="3:43" x14ac:dyDescent="0.25">
      <c r="C323">
        <f t="shared" si="111"/>
        <v>295</v>
      </c>
      <c r="D323">
        <f t="shared" si="112"/>
        <v>24</v>
      </c>
      <c r="E323" s="12">
        <f t="shared" si="113"/>
        <v>54820</v>
      </c>
      <c r="F323" s="12"/>
      <c r="G323" s="15">
        <f t="shared" si="114"/>
        <v>0</v>
      </c>
      <c r="H323" s="15">
        <f t="shared" si="115"/>
        <v>0</v>
      </c>
      <c r="I323" s="15"/>
      <c r="J323" s="16">
        <f t="shared" si="116"/>
        <v>0</v>
      </c>
      <c r="K323" s="16">
        <f t="shared" si="117"/>
        <v>0</v>
      </c>
      <c r="L323">
        <f t="shared" si="118"/>
        <v>0</v>
      </c>
      <c r="M323">
        <f t="shared" si="119"/>
        <v>0</v>
      </c>
      <c r="N323" s="16">
        <f t="shared" si="120"/>
        <v>0</v>
      </c>
      <c r="O323" s="16"/>
      <c r="P323" s="17">
        <f t="shared" si="121"/>
        <v>0</v>
      </c>
      <c r="Q323">
        <f>Q322/(1+Assumptions!$E$8/12)</f>
        <v>0.35241498201233651</v>
      </c>
      <c r="S323" s="17">
        <f t="shared" si="122"/>
        <v>0</v>
      </c>
      <c r="T323" s="17">
        <f>T322*(1+$K$24)*Z323</f>
        <v>0</v>
      </c>
      <c r="U323" s="17">
        <f t="shared" si="123"/>
        <v>0</v>
      </c>
      <c r="V323" s="17">
        <f t="shared" si="124"/>
        <v>0</v>
      </c>
      <c r="W323" s="17">
        <f t="shared" si="125"/>
        <v>0</v>
      </c>
      <c r="Y323">
        <f>(MONTH(E323)=MONTH(Assumptions!$E$6))*(YEAR(Assumptions!$E$6)=YEAR('Rent v Mortgage'!E323))</f>
        <v>0</v>
      </c>
      <c r="Z323">
        <f>--(SUM($Y$28:Y322)&lt;1)*AA323</f>
        <v>0</v>
      </c>
      <c r="AA323">
        <f t="shared" si="126"/>
        <v>1</v>
      </c>
      <c r="AB323" s="20"/>
      <c r="AC323">
        <f t="shared" si="127"/>
        <v>295</v>
      </c>
      <c r="AD323">
        <f t="shared" si="128"/>
        <v>2050</v>
      </c>
      <c r="AE323" s="12">
        <f t="shared" si="129"/>
        <v>54820</v>
      </c>
      <c r="AG323" s="19">
        <f t="shared" si="130"/>
        <v>0</v>
      </c>
      <c r="AH323" s="19">
        <f t="shared" si="131"/>
        <v>0</v>
      </c>
      <c r="AI323" s="19">
        <f t="shared" si="132"/>
        <v>0</v>
      </c>
      <c r="AK323" s="19">
        <f t="shared" si="133"/>
        <v>0</v>
      </c>
      <c r="AL323" s="19">
        <f ca="1">(IF(MOD(AC323,($AE$15*12)),0,$AG323-IFERROR(SUM(OFFSET(AL322,,,-$AE$15*12)),0))-SUM($AL$28:AL322)*(Z324=0))*(Z323=1)</f>
        <v>0</v>
      </c>
      <c r="AM323" s="19">
        <f t="shared" si="134"/>
        <v>0</v>
      </c>
      <c r="AN323" s="19">
        <f t="shared" si="135"/>
        <v>0</v>
      </c>
      <c r="AP323" s="19">
        <f t="shared" ca="1" si="109"/>
        <v>0</v>
      </c>
      <c r="AQ323" s="18">
        <f t="shared" si="110"/>
        <v>0.35241498201233651</v>
      </c>
    </row>
    <row r="324" spans="3:43" x14ac:dyDescent="0.25">
      <c r="C324">
        <f t="shared" si="111"/>
        <v>296</v>
      </c>
      <c r="D324">
        <f t="shared" si="112"/>
        <v>24</v>
      </c>
      <c r="E324" s="12">
        <f t="shared" si="113"/>
        <v>54848</v>
      </c>
      <c r="F324" s="12"/>
      <c r="G324" s="15">
        <f t="shared" si="114"/>
        <v>0</v>
      </c>
      <c r="H324" s="15">
        <f t="shared" si="115"/>
        <v>0</v>
      </c>
      <c r="I324" s="15"/>
      <c r="J324" s="16">
        <f t="shared" si="116"/>
        <v>0</v>
      </c>
      <c r="K324" s="16">
        <f t="shared" si="117"/>
        <v>0</v>
      </c>
      <c r="L324">
        <f t="shared" si="118"/>
        <v>0</v>
      </c>
      <c r="M324">
        <f t="shared" si="119"/>
        <v>0</v>
      </c>
      <c r="N324" s="16">
        <f t="shared" si="120"/>
        <v>0</v>
      </c>
      <c r="O324" s="16"/>
      <c r="P324" s="17">
        <f t="shared" si="121"/>
        <v>0</v>
      </c>
      <c r="Q324">
        <f>Q323/(1+Assumptions!$E$8/12)</f>
        <v>0.35117125050014847</v>
      </c>
      <c r="S324" s="17">
        <f t="shared" si="122"/>
        <v>0</v>
      </c>
      <c r="T324" s="17">
        <f>T323*(1+$K$24)*Z324</f>
        <v>0</v>
      </c>
      <c r="U324" s="17">
        <f t="shared" si="123"/>
        <v>0</v>
      </c>
      <c r="V324" s="17">
        <f t="shared" si="124"/>
        <v>0</v>
      </c>
      <c r="W324" s="17">
        <f t="shared" si="125"/>
        <v>0</v>
      </c>
      <c r="Y324">
        <f>(MONTH(E324)=MONTH(Assumptions!$E$6))*(YEAR(Assumptions!$E$6)=YEAR('Rent v Mortgage'!E324))</f>
        <v>0</v>
      </c>
      <c r="Z324">
        <f>--(SUM($Y$28:Y323)&lt;1)*AA324</f>
        <v>0</v>
      </c>
      <c r="AA324">
        <f t="shared" si="126"/>
        <v>1</v>
      </c>
      <c r="AB324" s="20"/>
      <c r="AC324">
        <f t="shared" si="127"/>
        <v>296</v>
      </c>
      <c r="AD324">
        <f t="shared" si="128"/>
        <v>2050</v>
      </c>
      <c r="AE324" s="12">
        <f t="shared" si="129"/>
        <v>54848</v>
      </c>
      <c r="AG324" s="19">
        <f t="shared" si="130"/>
        <v>0</v>
      </c>
      <c r="AH324" s="19">
        <f t="shared" si="131"/>
        <v>0</v>
      </c>
      <c r="AI324" s="19">
        <f t="shared" si="132"/>
        <v>0</v>
      </c>
      <c r="AK324" s="19">
        <f t="shared" si="133"/>
        <v>0</v>
      </c>
      <c r="AL324" s="19">
        <f ca="1">(IF(MOD(AC324,($AE$15*12)),0,$AG324-IFERROR(SUM(OFFSET(AL323,,,-$AE$15*12)),0))-SUM($AL$28:AL323)*(Z325=0))*(Z324=1)</f>
        <v>0</v>
      </c>
      <c r="AM324" s="19">
        <f t="shared" si="134"/>
        <v>0</v>
      </c>
      <c r="AN324" s="19">
        <f t="shared" si="135"/>
        <v>0</v>
      </c>
      <c r="AP324" s="19">
        <f t="shared" ca="1" si="109"/>
        <v>0</v>
      </c>
      <c r="AQ324" s="18">
        <f t="shared" si="110"/>
        <v>0.35117125050014847</v>
      </c>
    </row>
    <row r="325" spans="3:43" x14ac:dyDescent="0.25">
      <c r="C325">
        <f t="shared" si="111"/>
        <v>297</v>
      </c>
      <c r="D325">
        <f t="shared" si="112"/>
        <v>24</v>
      </c>
      <c r="E325" s="12">
        <f t="shared" si="113"/>
        <v>54879</v>
      </c>
      <c r="F325" s="12"/>
      <c r="G325" s="15">
        <f t="shared" si="114"/>
        <v>0</v>
      </c>
      <c r="H325" s="15">
        <f t="shared" si="115"/>
        <v>0</v>
      </c>
      <c r="I325" s="15"/>
      <c r="J325" s="16">
        <f t="shared" si="116"/>
        <v>0</v>
      </c>
      <c r="K325" s="16">
        <f t="shared" si="117"/>
        <v>0</v>
      </c>
      <c r="L325">
        <f t="shared" si="118"/>
        <v>0</v>
      </c>
      <c r="M325">
        <f t="shared" si="119"/>
        <v>0</v>
      </c>
      <c r="N325" s="16">
        <f t="shared" si="120"/>
        <v>0</v>
      </c>
      <c r="O325" s="16"/>
      <c r="P325" s="17">
        <f t="shared" si="121"/>
        <v>0</v>
      </c>
      <c r="Q325">
        <f>Q324/(1+Assumptions!$E$8/12)</f>
        <v>0.34993190832483134</v>
      </c>
      <c r="S325" s="17">
        <f t="shared" si="122"/>
        <v>0</v>
      </c>
      <c r="T325" s="17">
        <f>T324*(1+$K$24)*Z325</f>
        <v>0</v>
      </c>
      <c r="U325" s="17">
        <f t="shared" si="123"/>
        <v>0</v>
      </c>
      <c r="V325" s="17">
        <f t="shared" si="124"/>
        <v>0</v>
      </c>
      <c r="W325" s="17">
        <f t="shared" si="125"/>
        <v>0</v>
      </c>
      <c r="Y325">
        <f>(MONTH(E325)=MONTH(Assumptions!$E$6))*(YEAR(Assumptions!$E$6)=YEAR('Rent v Mortgage'!E325))</f>
        <v>0</v>
      </c>
      <c r="Z325">
        <f>--(SUM($Y$28:Y324)&lt;1)*AA325</f>
        <v>0</v>
      </c>
      <c r="AA325">
        <f t="shared" si="126"/>
        <v>1</v>
      </c>
      <c r="AB325" s="20"/>
      <c r="AC325">
        <f t="shared" si="127"/>
        <v>297</v>
      </c>
      <c r="AD325">
        <f t="shared" si="128"/>
        <v>2050</v>
      </c>
      <c r="AE325" s="12">
        <f t="shared" si="129"/>
        <v>54879</v>
      </c>
      <c r="AG325" s="19">
        <f t="shared" si="130"/>
        <v>0</v>
      </c>
      <c r="AH325" s="19">
        <f t="shared" si="131"/>
        <v>0</v>
      </c>
      <c r="AI325" s="19">
        <f t="shared" si="132"/>
        <v>0</v>
      </c>
      <c r="AK325" s="19">
        <f t="shared" si="133"/>
        <v>0</v>
      </c>
      <c r="AL325" s="19">
        <f ca="1">(IF(MOD(AC325,($AE$15*12)),0,$AG325-IFERROR(SUM(OFFSET(AL324,,,-$AE$15*12)),0))-SUM($AL$28:AL324)*(Z326=0))*(Z325=1)</f>
        <v>0</v>
      </c>
      <c r="AM325" s="19">
        <f t="shared" si="134"/>
        <v>0</v>
      </c>
      <c r="AN325" s="19">
        <f t="shared" si="135"/>
        <v>0</v>
      </c>
      <c r="AP325" s="19">
        <f t="shared" ca="1" si="109"/>
        <v>0</v>
      </c>
      <c r="AQ325" s="18">
        <f t="shared" si="110"/>
        <v>0.34993190832483134</v>
      </c>
    </row>
    <row r="326" spans="3:43" x14ac:dyDescent="0.25">
      <c r="C326">
        <f t="shared" si="111"/>
        <v>298</v>
      </c>
      <c r="D326">
        <f t="shared" si="112"/>
        <v>24</v>
      </c>
      <c r="E326" s="12">
        <f t="shared" si="113"/>
        <v>54909</v>
      </c>
      <c r="F326" s="12"/>
      <c r="G326" s="15">
        <f t="shared" si="114"/>
        <v>0</v>
      </c>
      <c r="H326" s="15">
        <f t="shared" si="115"/>
        <v>0</v>
      </c>
      <c r="I326" s="15"/>
      <c r="J326" s="16">
        <f t="shared" si="116"/>
        <v>0</v>
      </c>
      <c r="K326" s="16">
        <f t="shared" si="117"/>
        <v>0</v>
      </c>
      <c r="L326">
        <f t="shared" si="118"/>
        <v>0</v>
      </c>
      <c r="M326">
        <f t="shared" si="119"/>
        <v>0</v>
      </c>
      <c r="N326" s="16">
        <f t="shared" si="120"/>
        <v>0</v>
      </c>
      <c r="O326" s="16"/>
      <c r="P326" s="17">
        <f t="shared" si="121"/>
        <v>0</v>
      </c>
      <c r="Q326">
        <f>Q325/(1+Assumptions!$E$8/12)</f>
        <v>0.34869693999567991</v>
      </c>
      <c r="S326" s="17">
        <f t="shared" si="122"/>
        <v>0</v>
      </c>
      <c r="T326" s="17">
        <f>T325*(1+$K$24)*Z326</f>
        <v>0</v>
      </c>
      <c r="U326" s="17">
        <f t="shared" si="123"/>
        <v>0</v>
      </c>
      <c r="V326" s="17">
        <f t="shared" si="124"/>
        <v>0</v>
      </c>
      <c r="W326" s="17">
        <f t="shared" si="125"/>
        <v>0</v>
      </c>
      <c r="Y326">
        <f>(MONTH(E326)=MONTH(Assumptions!$E$6))*(YEAR(Assumptions!$E$6)=YEAR('Rent v Mortgage'!E326))</f>
        <v>0</v>
      </c>
      <c r="Z326">
        <f>--(SUM($Y$28:Y325)&lt;1)*AA326</f>
        <v>0</v>
      </c>
      <c r="AA326">
        <f t="shared" si="126"/>
        <v>1</v>
      </c>
      <c r="AB326" s="20"/>
      <c r="AC326">
        <f t="shared" si="127"/>
        <v>298</v>
      </c>
      <c r="AD326">
        <f t="shared" si="128"/>
        <v>2050</v>
      </c>
      <c r="AE326" s="12">
        <f t="shared" si="129"/>
        <v>54909</v>
      </c>
      <c r="AG326" s="19">
        <f t="shared" si="130"/>
        <v>0</v>
      </c>
      <c r="AH326" s="19">
        <f t="shared" si="131"/>
        <v>0</v>
      </c>
      <c r="AI326" s="19">
        <f t="shared" si="132"/>
        <v>0</v>
      </c>
      <c r="AK326" s="19">
        <f t="shared" si="133"/>
        <v>0</v>
      </c>
      <c r="AL326" s="19">
        <f ca="1">(IF(MOD(AC326,($AE$15*12)),0,$AG326-IFERROR(SUM(OFFSET(AL325,,,-$AE$15*12)),0))-SUM($AL$28:AL325)*(Z327=0))*(Z326=1)</f>
        <v>0</v>
      </c>
      <c r="AM326" s="19">
        <f t="shared" si="134"/>
        <v>0</v>
      </c>
      <c r="AN326" s="19">
        <f t="shared" si="135"/>
        <v>0</v>
      </c>
      <c r="AP326" s="19">
        <f t="shared" ca="1" si="109"/>
        <v>0</v>
      </c>
      <c r="AQ326" s="18">
        <f t="shared" si="110"/>
        <v>0.34869693999567991</v>
      </c>
    </row>
    <row r="327" spans="3:43" x14ac:dyDescent="0.25">
      <c r="C327">
        <f t="shared" si="111"/>
        <v>299</v>
      </c>
      <c r="D327">
        <f t="shared" si="112"/>
        <v>24</v>
      </c>
      <c r="E327" s="12">
        <f t="shared" si="113"/>
        <v>54940</v>
      </c>
      <c r="F327" s="12"/>
      <c r="G327" s="15">
        <f t="shared" si="114"/>
        <v>0</v>
      </c>
      <c r="H327" s="15">
        <f t="shared" si="115"/>
        <v>0</v>
      </c>
      <c r="I327" s="15"/>
      <c r="J327" s="16">
        <f t="shared" si="116"/>
        <v>0</v>
      </c>
      <c r="K327" s="16">
        <f t="shared" si="117"/>
        <v>0</v>
      </c>
      <c r="L327">
        <f t="shared" si="118"/>
        <v>0</v>
      </c>
      <c r="M327">
        <f t="shared" si="119"/>
        <v>0</v>
      </c>
      <c r="N327" s="16">
        <f t="shared" si="120"/>
        <v>0</v>
      </c>
      <c r="O327" s="16"/>
      <c r="P327" s="17">
        <f t="shared" si="121"/>
        <v>0</v>
      </c>
      <c r="Q327">
        <f>Q326/(1+Assumptions!$E$8/12)</f>
        <v>0.34746633007665839</v>
      </c>
      <c r="S327" s="17">
        <f t="shared" si="122"/>
        <v>0</v>
      </c>
      <c r="T327" s="17">
        <f>T326*(1+$K$24)*Z327</f>
        <v>0</v>
      </c>
      <c r="U327" s="17">
        <f t="shared" si="123"/>
        <v>0</v>
      </c>
      <c r="V327" s="17">
        <f t="shared" si="124"/>
        <v>0</v>
      </c>
      <c r="W327" s="17">
        <f t="shared" si="125"/>
        <v>0</v>
      </c>
      <c r="Y327">
        <f>(MONTH(E327)=MONTH(Assumptions!$E$6))*(YEAR(Assumptions!$E$6)=YEAR('Rent v Mortgage'!E327))</f>
        <v>0</v>
      </c>
      <c r="Z327">
        <f>--(SUM($Y$28:Y326)&lt;1)*AA327</f>
        <v>0</v>
      </c>
      <c r="AA327">
        <f t="shared" si="126"/>
        <v>1</v>
      </c>
      <c r="AB327" s="20"/>
      <c r="AC327">
        <f t="shared" si="127"/>
        <v>299</v>
      </c>
      <c r="AD327">
        <f t="shared" si="128"/>
        <v>2050</v>
      </c>
      <c r="AE327" s="12">
        <f t="shared" si="129"/>
        <v>54940</v>
      </c>
      <c r="AG327" s="19">
        <f t="shared" si="130"/>
        <v>0</v>
      </c>
      <c r="AH327" s="19">
        <f t="shared" si="131"/>
        <v>0</v>
      </c>
      <c r="AI327" s="19">
        <f t="shared" si="132"/>
        <v>0</v>
      </c>
      <c r="AK327" s="19">
        <f t="shared" si="133"/>
        <v>0</v>
      </c>
      <c r="AL327" s="19">
        <f ca="1">(IF(MOD(AC327,($AE$15*12)),0,$AG327-IFERROR(SUM(OFFSET(AL326,,,-$AE$15*12)),0))-SUM($AL$28:AL326)*(Z328=0))*(Z327=1)</f>
        <v>0</v>
      </c>
      <c r="AM327" s="19">
        <f t="shared" si="134"/>
        <v>0</v>
      </c>
      <c r="AN327" s="19">
        <f t="shared" si="135"/>
        <v>0</v>
      </c>
      <c r="AP327" s="19">
        <f t="shared" ca="1" si="109"/>
        <v>0</v>
      </c>
      <c r="AQ327" s="18">
        <f t="shared" si="110"/>
        <v>0.34746633007665839</v>
      </c>
    </row>
    <row r="328" spans="3:43" x14ac:dyDescent="0.25">
      <c r="C328">
        <f t="shared" si="111"/>
        <v>300</v>
      </c>
      <c r="D328">
        <f t="shared" si="112"/>
        <v>25</v>
      </c>
      <c r="E328" s="12">
        <f t="shared" si="113"/>
        <v>54970</v>
      </c>
      <c r="F328" s="12"/>
      <c r="G328" s="15">
        <f t="shared" si="114"/>
        <v>0</v>
      </c>
      <c r="H328" s="15">
        <f t="shared" si="115"/>
        <v>0</v>
      </c>
      <c r="I328" s="15"/>
      <c r="J328" s="16">
        <f t="shared" si="116"/>
        <v>0</v>
      </c>
      <c r="K328" s="16">
        <f t="shared" si="117"/>
        <v>0</v>
      </c>
      <c r="L328">
        <f t="shared" si="118"/>
        <v>0</v>
      </c>
      <c r="M328">
        <f t="shared" si="119"/>
        <v>0</v>
      </c>
      <c r="N328" s="16">
        <f t="shared" si="120"/>
        <v>0</v>
      </c>
      <c r="O328" s="16"/>
      <c r="P328" s="17">
        <f t="shared" si="121"/>
        <v>0</v>
      </c>
      <c r="Q328">
        <f>Q327/(1+Assumptions!$E$8/12)</f>
        <v>0.3462400631862072</v>
      </c>
      <c r="S328" s="17">
        <f t="shared" si="122"/>
        <v>0</v>
      </c>
      <c r="T328" s="17">
        <f>T327*(1+$K$24)*Z328</f>
        <v>0</v>
      </c>
      <c r="U328" s="17">
        <f t="shared" si="123"/>
        <v>0</v>
      </c>
      <c r="V328" s="17">
        <f t="shared" si="124"/>
        <v>0</v>
      </c>
      <c r="W328" s="17">
        <f t="shared" si="125"/>
        <v>0</v>
      </c>
      <c r="Y328">
        <f>(MONTH(E328)=MONTH(Assumptions!$E$6))*(YEAR(Assumptions!$E$6)=YEAR('Rent v Mortgage'!E328))</f>
        <v>0</v>
      </c>
      <c r="Z328">
        <f>--(SUM($Y$28:Y327)&lt;1)*AA328</f>
        <v>0</v>
      </c>
      <c r="AA328">
        <f t="shared" si="126"/>
        <v>1</v>
      </c>
      <c r="AB328" s="20"/>
      <c r="AC328">
        <f t="shared" si="127"/>
        <v>300</v>
      </c>
      <c r="AD328">
        <f t="shared" si="128"/>
        <v>2050</v>
      </c>
      <c r="AE328" s="12">
        <f t="shared" si="129"/>
        <v>54970</v>
      </c>
      <c r="AG328" s="19">
        <f t="shared" si="130"/>
        <v>0</v>
      </c>
      <c r="AH328" s="19">
        <f t="shared" si="131"/>
        <v>0</v>
      </c>
      <c r="AI328" s="19">
        <f t="shared" si="132"/>
        <v>0</v>
      </c>
      <c r="AK328" s="19">
        <f t="shared" si="133"/>
        <v>0</v>
      </c>
      <c r="AL328" s="19">
        <f ca="1">(IF(MOD(AC328,($AE$15*12)),0,$AG328-IFERROR(SUM(OFFSET(AL327,,,-$AE$15*12)),0))-SUM($AL$28:AL327)*(Z329=0))*(Z328=1)</f>
        <v>0</v>
      </c>
      <c r="AM328" s="19">
        <f t="shared" si="134"/>
        <v>0</v>
      </c>
      <c r="AN328" s="19">
        <f t="shared" si="135"/>
        <v>0</v>
      </c>
      <c r="AP328" s="19">
        <f t="shared" ca="1" si="109"/>
        <v>0</v>
      </c>
      <c r="AQ328" s="18">
        <f t="shared" si="110"/>
        <v>0.3462400631862072</v>
      </c>
    </row>
    <row r="329" spans="3:43" x14ac:dyDescent="0.25">
      <c r="C329">
        <f t="shared" si="111"/>
        <v>301</v>
      </c>
      <c r="D329">
        <f t="shared" si="112"/>
        <v>25</v>
      </c>
      <c r="E329" s="12">
        <f t="shared" si="113"/>
        <v>55001</v>
      </c>
      <c r="F329" s="12"/>
      <c r="G329" s="15">
        <f t="shared" si="114"/>
        <v>0</v>
      </c>
      <c r="H329" s="15">
        <f t="shared" si="115"/>
        <v>0</v>
      </c>
      <c r="I329" s="15"/>
      <c r="J329" s="16">
        <f t="shared" si="116"/>
        <v>0</v>
      </c>
      <c r="K329" s="16">
        <f t="shared" si="117"/>
        <v>0</v>
      </c>
      <c r="L329">
        <f t="shared" si="118"/>
        <v>0</v>
      </c>
      <c r="M329">
        <f t="shared" si="119"/>
        <v>0</v>
      </c>
      <c r="N329" s="16">
        <f t="shared" si="120"/>
        <v>0</v>
      </c>
      <c r="O329" s="16"/>
      <c r="P329" s="17">
        <f t="shared" si="121"/>
        <v>0</v>
      </c>
      <c r="Q329">
        <f>Q328/(1+Assumptions!$E$8/12)</f>
        <v>0.34501812399705095</v>
      </c>
      <c r="S329" s="17">
        <f t="shared" si="122"/>
        <v>0</v>
      </c>
      <c r="T329" s="17">
        <f>T328*(1+$K$24)*Z329</f>
        <v>0</v>
      </c>
      <c r="U329" s="17">
        <f t="shared" si="123"/>
        <v>0</v>
      </c>
      <c r="V329" s="17">
        <f t="shared" si="124"/>
        <v>0</v>
      </c>
      <c r="W329" s="17">
        <f t="shared" si="125"/>
        <v>0</v>
      </c>
      <c r="Y329">
        <f>(MONTH(E329)=MONTH(Assumptions!$E$6))*(YEAR(Assumptions!$E$6)=YEAR('Rent v Mortgage'!E329))</f>
        <v>0</v>
      </c>
      <c r="Z329">
        <f>--(SUM($Y$28:Y328)&lt;1)*AA329</f>
        <v>0</v>
      </c>
      <c r="AA329">
        <f t="shared" si="126"/>
        <v>1</v>
      </c>
      <c r="AB329" s="20"/>
      <c r="AC329">
        <f t="shared" si="127"/>
        <v>301</v>
      </c>
      <c r="AD329">
        <f t="shared" si="128"/>
        <v>2050</v>
      </c>
      <c r="AE329" s="12">
        <f t="shared" si="129"/>
        <v>55001</v>
      </c>
      <c r="AG329" s="19">
        <f t="shared" si="130"/>
        <v>0</v>
      </c>
      <c r="AH329" s="19">
        <f t="shared" si="131"/>
        <v>0</v>
      </c>
      <c r="AI329" s="19">
        <f t="shared" si="132"/>
        <v>0</v>
      </c>
      <c r="AK329" s="19">
        <f t="shared" si="133"/>
        <v>0</v>
      </c>
      <c r="AL329" s="19">
        <f ca="1">(IF(MOD(AC329,($AE$15*12)),0,$AG329-IFERROR(SUM(OFFSET(AL328,,,-$AE$15*12)),0))-SUM($AL$28:AL328)*(Z330=0))*(Z329=1)</f>
        <v>0</v>
      </c>
      <c r="AM329" s="19">
        <f t="shared" si="134"/>
        <v>0</v>
      </c>
      <c r="AN329" s="19">
        <f t="shared" si="135"/>
        <v>0</v>
      </c>
      <c r="AP329" s="19">
        <f t="shared" ca="1" si="109"/>
        <v>0</v>
      </c>
      <c r="AQ329" s="18">
        <f t="shared" si="110"/>
        <v>0.34501812399705095</v>
      </c>
    </row>
    <row r="330" spans="3:43" x14ac:dyDescent="0.25">
      <c r="C330">
        <f t="shared" si="111"/>
        <v>302</v>
      </c>
      <c r="D330">
        <f t="shared" si="112"/>
        <v>25</v>
      </c>
      <c r="E330" s="12">
        <f t="shared" si="113"/>
        <v>55032</v>
      </c>
      <c r="F330" s="12"/>
      <c r="G330" s="15">
        <f t="shared" si="114"/>
        <v>0</v>
      </c>
      <c r="H330" s="15">
        <f t="shared" si="115"/>
        <v>0</v>
      </c>
      <c r="I330" s="15"/>
      <c r="J330" s="16">
        <f t="shared" si="116"/>
        <v>0</v>
      </c>
      <c r="K330" s="16">
        <f t="shared" si="117"/>
        <v>0</v>
      </c>
      <c r="L330">
        <f t="shared" si="118"/>
        <v>0</v>
      </c>
      <c r="M330">
        <f t="shared" si="119"/>
        <v>0</v>
      </c>
      <c r="N330" s="16">
        <f t="shared" si="120"/>
        <v>0</v>
      </c>
      <c r="O330" s="16"/>
      <c r="P330" s="17">
        <f t="shared" si="121"/>
        <v>0</v>
      </c>
      <c r="Q330">
        <f>Q329/(1+Assumptions!$E$8/12)</f>
        <v>0.3438004972360067</v>
      </c>
      <c r="S330" s="17">
        <f t="shared" si="122"/>
        <v>0</v>
      </c>
      <c r="T330" s="17">
        <f>T329*(1+$K$24)*Z330</f>
        <v>0</v>
      </c>
      <c r="U330" s="17">
        <f t="shared" si="123"/>
        <v>0</v>
      </c>
      <c r="V330" s="17">
        <f t="shared" si="124"/>
        <v>0</v>
      </c>
      <c r="W330" s="17">
        <f t="shared" si="125"/>
        <v>0</v>
      </c>
      <c r="Y330">
        <f>(MONTH(E330)=MONTH(Assumptions!$E$6))*(YEAR(Assumptions!$E$6)=YEAR('Rent v Mortgage'!E330))</f>
        <v>0</v>
      </c>
      <c r="Z330">
        <f>--(SUM($Y$28:Y329)&lt;1)*AA330</f>
        <v>0</v>
      </c>
      <c r="AA330">
        <f t="shared" si="126"/>
        <v>1</v>
      </c>
      <c r="AB330" s="20"/>
      <c r="AC330">
        <f t="shared" si="127"/>
        <v>302</v>
      </c>
      <c r="AD330">
        <f t="shared" si="128"/>
        <v>2050</v>
      </c>
      <c r="AE330" s="12">
        <f t="shared" si="129"/>
        <v>55032</v>
      </c>
      <c r="AG330" s="19">
        <f t="shared" si="130"/>
        <v>0</v>
      </c>
      <c r="AH330" s="19">
        <f t="shared" si="131"/>
        <v>0</v>
      </c>
      <c r="AI330" s="19">
        <f t="shared" si="132"/>
        <v>0</v>
      </c>
      <c r="AK330" s="19">
        <f t="shared" si="133"/>
        <v>0</v>
      </c>
      <c r="AL330" s="19">
        <f ca="1">(IF(MOD(AC330,($AE$15*12)),0,$AG330-IFERROR(SUM(OFFSET(AL329,,,-$AE$15*12)),0))-SUM($AL$28:AL329)*(Z331=0))*(Z330=1)</f>
        <v>0</v>
      </c>
      <c r="AM330" s="19">
        <f t="shared" si="134"/>
        <v>0</v>
      </c>
      <c r="AN330" s="19">
        <f t="shared" si="135"/>
        <v>0</v>
      </c>
      <c r="AP330" s="19">
        <f t="shared" ca="1" si="109"/>
        <v>0</v>
      </c>
      <c r="AQ330" s="18">
        <f t="shared" si="110"/>
        <v>0.3438004972360067</v>
      </c>
    </row>
    <row r="331" spans="3:43" x14ac:dyDescent="0.25">
      <c r="C331">
        <f t="shared" si="111"/>
        <v>303</v>
      </c>
      <c r="D331">
        <f t="shared" si="112"/>
        <v>25</v>
      </c>
      <c r="E331" s="12">
        <f t="shared" si="113"/>
        <v>55062</v>
      </c>
      <c r="F331" s="12"/>
      <c r="G331" s="15">
        <f t="shared" si="114"/>
        <v>0</v>
      </c>
      <c r="H331" s="15">
        <f t="shared" si="115"/>
        <v>0</v>
      </c>
      <c r="I331" s="15"/>
      <c r="J331" s="16">
        <f t="shared" si="116"/>
        <v>0</v>
      </c>
      <c r="K331" s="16">
        <f t="shared" si="117"/>
        <v>0</v>
      </c>
      <c r="L331">
        <f t="shared" si="118"/>
        <v>0</v>
      </c>
      <c r="M331">
        <f t="shared" si="119"/>
        <v>0</v>
      </c>
      <c r="N331" s="16">
        <f t="shared" si="120"/>
        <v>0</v>
      </c>
      <c r="O331" s="16"/>
      <c r="P331" s="17">
        <f t="shared" si="121"/>
        <v>0</v>
      </c>
      <c r="Q331">
        <f>Q330/(1+Assumptions!$E$8/12)</f>
        <v>0.34258716768379321</v>
      </c>
      <c r="S331" s="17">
        <f t="shared" si="122"/>
        <v>0</v>
      </c>
      <c r="T331" s="17">
        <f>T330*(1+$K$24)*Z331</f>
        <v>0</v>
      </c>
      <c r="U331" s="17">
        <f t="shared" si="123"/>
        <v>0</v>
      </c>
      <c r="V331" s="17">
        <f t="shared" si="124"/>
        <v>0</v>
      </c>
      <c r="W331" s="17">
        <f t="shared" si="125"/>
        <v>0</v>
      </c>
      <c r="Y331">
        <f>(MONTH(E331)=MONTH(Assumptions!$E$6))*(YEAR(Assumptions!$E$6)=YEAR('Rent v Mortgage'!E331))</f>
        <v>0</v>
      </c>
      <c r="Z331">
        <f>--(SUM($Y$28:Y330)&lt;1)*AA331</f>
        <v>0</v>
      </c>
      <c r="AA331">
        <f t="shared" si="126"/>
        <v>1</v>
      </c>
      <c r="AB331" s="20"/>
      <c r="AC331">
        <f t="shared" si="127"/>
        <v>303</v>
      </c>
      <c r="AD331">
        <f t="shared" si="128"/>
        <v>2050</v>
      </c>
      <c r="AE331" s="12">
        <f t="shared" si="129"/>
        <v>55062</v>
      </c>
      <c r="AG331" s="19">
        <f t="shared" si="130"/>
        <v>0</v>
      </c>
      <c r="AH331" s="19">
        <f t="shared" si="131"/>
        <v>0</v>
      </c>
      <c r="AI331" s="19">
        <f t="shared" si="132"/>
        <v>0</v>
      </c>
      <c r="AK331" s="19">
        <f t="shared" si="133"/>
        <v>0</v>
      </c>
      <c r="AL331" s="19">
        <f ca="1">(IF(MOD(AC331,($AE$15*12)),0,$AG331-IFERROR(SUM(OFFSET(AL330,,,-$AE$15*12)),0))-SUM($AL$28:AL330)*(Z332=0))*(Z331=1)</f>
        <v>0</v>
      </c>
      <c r="AM331" s="19">
        <f t="shared" si="134"/>
        <v>0</v>
      </c>
      <c r="AN331" s="19">
        <f t="shared" si="135"/>
        <v>0</v>
      </c>
      <c r="AP331" s="19">
        <f t="shared" ca="1" si="109"/>
        <v>0</v>
      </c>
      <c r="AQ331" s="18">
        <f t="shared" si="110"/>
        <v>0.34258716768379321</v>
      </c>
    </row>
    <row r="332" spans="3:43" x14ac:dyDescent="0.25">
      <c r="C332">
        <f t="shared" si="111"/>
        <v>304</v>
      </c>
      <c r="D332">
        <f t="shared" si="112"/>
        <v>25</v>
      </c>
      <c r="E332" s="12">
        <f t="shared" si="113"/>
        <v>55093</v>
      </c>
      <c r="F332" s="12"/>
      <c r="G332" s="15">
        <f t="shared" si="114"/>
        <v>0</v>
      </c>
      <c r="H332" s="15">
        <f t="shared" si="115"/>
        <v>0</v>
      </c>
      <c r="I332" s="15"/>
      <c r="J332" s="16">
        <f t="shared" si="116"/>
        <v>0</v>
      </c>
      <c r="K332" s="16">
        <f t="shared" si="117"/>
        <v>0</v>
      </c>
      <c r="L332">
        <f t="shared" si="118"/>
        <v>0</v>
      </c>
      <c r="M332">
        <f t="shared" si="119"/>
        <v>0</v>
      </c>
      <c r="N332" s="16">
        <f t="shared" si="120"/>
        <v>0</v>
      </c>
      <c r="O332" s="16"/>
      <c r="P332" s="17">
        <f t="shared" si="121"/>
        <v>0</v>
      </c>
      <c r="Q332">
        <f>Q331/(1+Assumptions!$E$8/12)</f>
        <v>0.34137812017484059</v>
      </c>
      <c r="S332" s="17">
        <f t="shared" si="122"/>
        <v>0</v>
      </c>
      <c r="T332" s="17">
        <f>T331*(1+$K$24)*Z332</f>
        <v>0</v>
      </c>
      <c r="U332" s="17">
        <f t="shared" si="123"/>
        <v>0</v>
      </c>
      <c r="V332" s="17">
        <f t="shared" si="124"/>
        <v>0</v>
      </c>
      <c r="W332" s="17">
        <f t="shared" si="125"/>
        <v>0</v>
      </c>
      <c r="Y332">
        <f>(MONTH(E332)=MONTH(Assumptions!$E$6))*(YEAR(Assumptions!$E$6)=YEAR('Rent v Mortgage'!E332))</f>
        <v>0</v>
      </c>
      <c r="Z332">
        <f>--(SUM($Y$28:Y331)&lt;1)*AA332</f>
        <v>0</v>
      </c>
      <c r="AA332">
        <f t="shared" si="126"/>
        <v>1</v>
      </c>
      <c r="AB332" s="20"/>
      <c r="AC332">
        <f t="shared" si="127"/>
        <v>304</v>
      </c>
      <c r="AD332">
        <f t="shared" si="128"/>
        <v>2050</v>
      </c>
      <c r="AE332" s="12">
        <f t="shared" si="129"/>
        <v>55093</v>
      </c>
      <c r="AG332" s="19">
        <f t="shared" si="130"/>
        <v>0</v>
      </c>
      <c r="AH332" s="19">
        <f t="shared" si="131"/>
        <v>0</v>
      </c>
      <c r="AI332" s="19">
        <f t="shared" si="132"/>
        <v>0</v>
      </c>
      <c r="AK332" s="19">
        <f t="shared" si="133"/>
        <v>0</v>
      </c>
      <c r="AL332" s="19">
        <f ca="1">(IF(MOD(AC332,($AE$15*12)),0,$AG332-IFERROR(SUM(OFFSET(AL331,,,-$AE$15*12)),0))-SUM($AL$28:AL331)*(Z333=0))*(Z332=1)</f>
        <v>0</v>
      </c>
      <c r="AM332" s="19">
        <f t="shared" si="134"/>
        <v>0</v>
      </c>
      <c r="AN332" s="19">
        <f t="shared" si="135"/>
        <v>0</v>
      </c>
      <c r="AP332" s="19">
        <f t="shared" ca="1" si="109"/>
        <v>0</v>
      </c>
      <c r="AQ332" s="18">
        <f t="shared" si="110"/>
        <v>0.34137812017484059</v>
      </c>
    </row>
    <row r="333" spans="3:43" x14ac:dyDescent="0.25">
      <c r="C333">
        <f t="shared" si="111"/>
        <v>305</v>
      </c>
      <c r="D333">
        <f t="shared" si="112"/>
        <v>25</v>
      </c>
      <c r="E333" s="12">
        <f t="shared" si="113"/>
        <v>55123</v>
      </c>
      <c r="F333" s="12"/>
      <c r="G333" s="15">
        <f t="shared" si="114"/>
        <v>0</v>
      </c>
      <c r="H333" s="15">
        <f t="shared" si="115"/>
        <v>0</v>
      </c>
      <c r="I333" s="15"/>
      <c r="J333" s="16">
        <f t="shared" si="116"/>
        <v>0</v>
      </c>
      <c r="K333" s="16">
        <f t="shared" si="117"/>
        <v>0</v>
      </c>
      <c r="L333">
        <f t="shared" si="118"/>
        <v>0</v>
      </c>
      <c r="M333">
        <f t="shared" si="119"/>
        <v>0</v>
      </c>
      <c r="N333" s="16">
        <f t="shared" si="120"/>
        <v>0</v>
      </c>
      <c r="O333" s="16"/>
      <c r="P333" s="17">
        <f t="shared" si="121"/>
        <v>0</v>
      </c>
      <c r="Q333">
        <f>Q332/(1+Assumptions!$E$8/12)</f>
        <v>0.34017333959710083</v>
      </c>
      <c r="S333" s="17">
        <f t="shared" si="122"/>
        <v>0</v>
      </c>
      <c r="T333" s="17">
        <f>T332*(1+$K$24)*Z333</f>
        <v>0</v>
      </c>
      <c r="U333" s="17">
        <f t="shared" si="123"/>
        <v>0</v>
      </c>
      <c r="V333" s="17">
        <f t="shared" si="124"/>
        <v>0</v>
      </c>
      <c r="W333" s="17">
        <f t="shared" si="125"/>
        <v>0</v>
      </c>
      <c r="Y333">
        <f>(MONTH(E333)=MONTH(Assumptions!$E$6))*(YEAR(Assumptions!$E$6)=YEAR('Rent v Mortgage'!E333))</f>
        <v>0</v>
      </c>
      <c r="Z333">
        <f>--(SUM($Y$28:Y332)&lt;1)*AA333</f>
        <v>0</v>
      </c>
      <c r="AA333">
        <f t="shared" si="126"/>
        <v>1</v>
      </c>
      <c r="AB333" s="20"/>
      <c r="AC333">
        <f t="shared" si="127"/>
        <v>305</v>
      </c>
      <c r="AD333">
        <f t="shared" si="128"/>
        <v>2050</v>
      </c>
      <c r="AE333" s="12">
        <f t="shared" si="129"/>
        <v>55123</v>
      </c>
      <c r="AG333" s="19">
        <f t="shared" si="130"/>
        <v>0</v>
      </c>
      <c r="AH333" s="19">
        <f t="shared" si="131"/>
        <v>0</v>
      </c>
      <c r="AI333" s="19">
        <f t="shared" si="132"/>
        <v>0</v>
      </c>
      <c r="AK333" s="19">
        <f t="shared" si="133"/>
        <v>0</v>
      </c>
      <c r="AL333" s="19">
        <f ca="1">(IF(MOD(AC333,($AE$15*12)),0,$AG333-IFERROR(SUM(OFFSET(AL332,,,-$AE$15*12)),0))-SUM($AL$28:AL332)*(Z334=0))*(Z333=1)</f>
        <v>0</v>
      </c>
      <c r="AM333" s="19">
        <f t="shared" si="134"/>
        <v>0</v>
      </c>
      <c r="AN333" s="19">
        <f t="shared" si="135"/>
        <v>0</v>
      </c>
      <c r="AP333" s="19">
        <f t="shared" ca="1" si="109"/>
        <v>0</v>
      </c>
      <c r="AQ333" s="18">
        <f t="shared" si="110"/>
        <v>0.34017333959710083</v>
      </c>
    </row>
    <row r="334" spans="3:43" x14ac:dyDescent="0.25">
      <c r="C334">
        <f t="shared" si="111"/>
        <v>306</v>
      </c>
      <c r="D334">
        <f t="shared" si="112"/>
        <v>25</v>
      </c>
      <c r="E334" s="12">
        <f t="shared" si="113"/>
        <v>55154</v>
      </c>
      <c r="F334" s="12"/>
      <c r="G334" s="15">
        <f t="shared" si="114"/>
        <v>0</v>
      </c>
      <c r="H334" s="15">
        <f t="shared" si="115"/>
        <v>0</v>
      </c>
      <c r="I334" s="15"/>
      <c r="J334" s="16">
        <f t="shared" si="116"/>
        <v>0</v>
      </c>
      <c r="K334" s="16">
        <f t="shared" si="117"/>
        <v>0</v>
      </c>
      <c r="L334">
        <f t="shared" si="118"/>
        <v>0</v>
      </c>
      <c r="M334">
        <f t="shared" si="119"/>
        <v>0</v>
      </c>
      <c r="N334" s="16">
        <f t="shared" si="120"/>
        <v>0</v>
      </c>
      <c r="O334" s="16"/>
      <c r="P334" s="17">
        <f t="shared" si="121"/>
        <v>0</v>
      </c>
      <c r="Q334">
        <f>Q333/(1+Assumptions!$E$8/12)</f>
        <v>0.33897281089185882</v>
      </c>
      <c r="S334" s="17">
        <f t="shared" si="122"/>
        <v>0</v>
      </c>
      <c r="T334" s="17">
        <f>T333*(1+$K$24)*Z334</f>
        <v>0</v>
      </c>
      <c r="U334" s="17">
        <f t="shared" si="123"/>
        <v>0</v>
      </c>
      <c r="V334" s="17">
        <f t="shared" si="124"/>
        <v>0</v>
      </c>
      <c r="W334" s="17">
        <f t="shared" si="125"/>
        <v>0</v>
      </c>
      <c r="Y334">
        <f>(MONTH(E334)=MONTH(Assumptions!$E$6))*(YEAR(Assumptions!$E$6)=YEAR('Rent v Mortgage'!E334))</f>
        <v>0</v>
      </c>
      <c r="Z334">
        <f>--(SUM($Y$28:Y333)&lt;1)*AA334</f>
        <v>0</v>
      </c>
      <c r="AA334">
        <f t="shared" si="126"/>
        <v>1</v>
      </c>
      <c r="AB334" s="20"/>
      <c r="AC334">
        <f t="shared" si="127"/>
        <v>306</v>
      </c>
      <c r="AD334">
        <f t="shared" si="128"/>
        <v>2051</v>
      </c>
      <c r="AE334" s="12">
        <f t="shared" si="129"/>
        <v>55154</v>
      </c>
      <c r="AG334" s="19">
        <f t="shared" si="130"/>
        <v>0</v>
      </c>
      <c r="AH334" s="19">
        <f t="shared" si="131"/>
        <v>0</v>
      </c>
      <c r="AI334" s="19">
        <f t="shared" si="132"/>
        <v>0</v>
      </c>
      <c r="AK334" s="19">
        <f t="shared" si="133"/>
        <v>0</v>
      </c>
      <c r="AL334" s="19">
        <f ca="1">(IF(MOD(AC334,($AE$15*12)),0,$AG334-IFERROR(SUM(OFFSET(AL333,,,-$AE$15*12)),0))-SUM($AL$28:AL333)*(Z335=0))*(Z334=1)</f>
        <v>0</v>
      </c>
      <c r="AM334" s="19">
        <f t="shared" si="134"/>
        <v>0</v>
      </c>
      <c r="AN334" s="19">
        <f t="shared" si="135"/>
        <v>0</v>
      </c>
      <c r="AP334" s="19">
        <f t="shared" ca="1" si="109"/>
        <v>0</v>
      </c>
      <c r="AQ334" s="18">
        <f t="shared" si="110"/>
        <v>0.33897281089185882</v>
      </c>
    </row>
    <row r="335" spans="3:43" x14ac:dyDescent="0.25">
      <c r="C335">
        <f t="shared" si="111"/>
        <v>307</v>
      </c>
      <c r="D335">
        <f t="shared" si="112"/>
        <v>25</v>
      </c>
      <c r="E335" s="12">
        <f t="shared" si="113"/>
        <v>55185</v>
      </c>
      <c r="F335" s="12"/>
      <c r="G335" s="15">
        <f t="shared" si="114"/>
        <v>0</v>
      </c>
      <c r="H335" s="15">
        <f t="shared" si="115"/>
        <v>0</v>
      </c>
      <c r="I335" s="15"/>
      <c r="J335" s="16">
        <f t="shared" si="116"/>
        <v>0</v>
      </c>
      <c r="K335" s="16">
        <f t="shared" si="117"/>
        <v>0</v>
      </c>
      <c r="L335">
        <f t="shared" si="118"/>
        <v>0</v>
      </c>
      <c r="M335">
        <f t="shared" si="119"/>
        <v>0</v>
      </c>
      <c r="N335" s="16">
        <f t="shared" si="120"/>
        <v>0</v>
      </c>
      <c r="O335" s="16"/>
      <c r="P335" s="17">
        <f t="shared" si="121"/>
        <v>0</v>
      </c>
      <c r="Q335">
        <f>Q334/(1+Assumptions!$E$8/12)</f>
        <v>0.33777651905354417</v>
      </c>
      <c r="S335" s="17">
        <f t="shared" si="122"/>
        <v>0</v>
      </c>
      <c r="T335" s="17">
        <f>T334*(1+$K$24)*Z335</f>
        <v>0</v>
      </c>
      <c r="U335" s="17">
        <f t="shared" si="123"/>
        <v>0</v>
      </c>
      <c r="V335" s="17">
        <f t="shared" si="124"/>
        <v>0</v>
      </c>
      <c r="W335" s="17">
        <f t="shared" si="125"/>
        <v>0</v>
      </c>
      <c r="Y335">
        <f>(MONTH(E335)=MONTH(Assumptions!$E$6))*(YEAR(Assumptions!$E$6)=YEAR('Rent v Mortgage'!E335))</f>
        <v>0</v>
      </c>
      <c r="Z335">
        <f>--(SUM($Y$28:Y334)&lt;1)*AA335</f>
        <v>0</v>
      </c>
      <c r="AA335">
        <f t="shared" si="126"/>
        <v>1</v>
      </c>
      <c r="AB335" s="20"/>
      <c r="AC335">
        <f t="shared" si="127"/>
        <v>307</v>
      </c>
      <c r="AD335">
        <f t="shared" si="128"/>
        <v>2051</v>
      </c>
      <c r="AE335" s="12">
        <f t="shared" si="129"/>
        <v>55185</v>
      </c>
      <c r="AG335" s="19">
        <f t="shared" si="130"/>
        <v>0</v>
      </c>
      <c r="AH335" s="19">
        <f t="shared" si="131"/>
        <v>0</v>
      </c>
      <c r="AI335" s="19">
        <f t="shared" si="132"/>
        <v>0</v>
      </c>
      <c r="AK335" s="19">
        <f t="shared" si="133"/>
        <v>0</v>
      </c>
      <c r="AL335" s="19">
        <f ca="1">(IF(MOD(AC335,($AE$15*12)),0,$AG335-IFERROR(SUM(OFFSET(AL334,,,-$AE$15*12)),0))-SUM($AL$28:AL334)*(Z336=0))*(Z335=1)</f>
        <v>0</v>
      </c>
      <c r="AM335" s="19">
        <f t="shared" si="134"/>
        <v>0</v>
      </c>
      <c r="AN335" s="19">
        <f t="shared" si="135"/>
        <v>0</v>
      </c>
      <c r="AP335" s="19">
        <f t="shared" ca="1" si="109"/>
        <v>0</v>
      </c>
      <c r="AQ335" s="18">
        <f t="shared" si="110"/>
        <v>0.33777651905354417</v>
      </c>
    </row>
    <row r="336" spans="3:43" x14ac:dyDescent="0.25">
      <c r="C336">
        <f t="shared" si="111"/>
        <v>308</v>
      </c>
      <c r="D336">
        <f t="shared" si="112"/>
        <v>25</v>
      </c>
      <c r="E336" s="12">
        <f t="shared" si="113"/>
        <v>55213</v>
      </c>
      <c r="F336" s="12"/>
      <c r="G336" s="15">
        <f t="shared" si="114"/>
        <v>0</v>
      </c>
      <c r="H336" s="15">
        <f t="shared" si="115"/>
        <v>0</v>
      </c>
      <c r="I336" s="15"/>
      <c r="J336" s="16">
        <f t="shared" si="116"/>
        <v>0</v>
      </c>
      <c r="K336" s="16">
        <f t="shared" si="117"/>
        <v>0</v>
      </c>
      <c r="L336">
        <f t="shared" si="118"/>
        <v>0</v>
      </c>
      <c r="M336">
        <f t="shared" si="119"/>
        <v>0</v>
      </c>
      <c r="N336" s="16">
        <f t="shared" si="120"/>
        <v>0</v>
      </c>
      <c r="O336" s="16"/>
      <c r="P336" s="17">
        <f t="shared" si="121"/>
        <v>0</v>
      </c>
      <c r="Q336">
        <f>Q335/(1+Assumptions!$E$8/12)</f>
        <v>0.33658444912954366</v>
      </c>
      <c r="S336" s="17">
        <f t="shared" si="122"/>
        <v>0</v>
      </c>
      <c r="T336" s="17">
        <f>T335*(1+$K$24)*Z336</f>
        <v>0</v>
      </c>
      <c r="U336" s="17">
        <f t="shared" si="123"/>
        <v>0</v>
      </c>
      <c r="V336" s="17">
        <f t="shared" si="124"/>
        <v>0</v>
      </c>
      <c r="W336" s="17">
        <f t="shared" si="125"/>
        <v>0</v>
      </c>
      <c r="Y336">
        <f>(MONTH(E336)=MONTH(Assumptions!$E$6))*(YEAR(Assumptions!$E$6)=YEAR('Rent v Mortgage'!E336))</f>
        <v>0</v>
      </c>
      <c r="Z336">
        <f>--(SUM($Y$28:Y335)&lt;1)*AA336</f>
        <v>0</v>
      </c>
      <c r="AA336">
        <f t="shared" si="126"/>
        <v>1</v>
      </c>
      <c r="AB336" s="20"/>
      <c r="AC336">
        <f t="shared" si="127"/>
        <v>308</v>
      </c>
      <c r="AD336">
        <f t="shared" si="128"/>
        <v>2051</v>
      </c>
      <c r="AE336" s="12">
        <f t="shared" si="129"/>
        <v>55213</v>
      </c>
      <c r="AG336" s="19">
        <f t="shared" si="130"/>
        <v>0</v>
      </c>
      <c r="AH336" s="19">
        <f t="shared" si="131"/>
        <v>0</v>
      </c>
      <c r="AI336" s="19">
        <f t="shared" si="132"/>
        <v>0</v>
      </c>
      <c r="AK336" s="19">
        <f t="shared" si="133"/>
        <v>0</v>
      </c>
      <c r="AL336" s="19">
        <f ca="1">(IF(MOD(AC336,($AE$15*12)),0,$AG336-IFERROR(SUM(OFFSET(AL335,,,-$AE$15*12)),0))-SUM($AL$28:AL335)*(Z337=0))*(Z336=1)</f>
        <v>0</v>
      </c>
      <c r="AM336" s="19">
        <f t="shared" si="134"/>
        <v>0</v>
      </c>
      <c r="AN336" s="19">
        <f t="shared" si="135"/>
        <v>0</v>
      </c>
      <c r="AP336" s="19">
        <f t="shared" ca="1" si="109"/>
        <v>0</v>
      </c>
      <c r="AQ336" s="18">
        <f t="shared" si="110"/>
        <v>0.33658444912954366</v>
      </c>
    </row>
    <row r="337" spans="3:43" x14ac:dyDescent="0.25">
      <c r="C337">
        <f t="shared" si="111"/>
        <v>309</v>
      </c>
      <c r="D337">
        <f t="shared" si="112"/>
        <v>25</v>
      </c>
      <c r="E337" s="12">
        <f t="shared" si="113"/>
        <v>55244</v>
      </c>
      <c r="F337" s="12"/>
      <c r="G337" s="15">
        <f t="shared" si="114"/>
        <v>0</v>
      </c>
      <c r="H337" s="15">
        <f t="shared" si="115"/>
        <v>0</v>
      </c>
      <c r="I337" s="15"/>
      <c r="J337" s="16">
        <f t="shared" si="116"/>
        <v>0</v>
      </c>
      <c r="K337" s="16">
        <f t="shared" si="117"/>
        <v>0</v>
      </c>
      <c r="L337">
        <f t="shared" si="118"/>
        <v>0</v>
      </c>
      <c r="M337">
        <f t="shared" si="119"/>
        <v>0</v>
      </c>
      <c r="N337" s="16">
        <f t="shared" si="120"/>
        <v>0</v>
      </c>
      <c r="O337" s="16"/>
      <c r="P337" s="17">
        <f t="shared" si="121"/>
        <v>0</v>
      </c>
      <c r="Q337">
        <f>Q336/(1+Assumptions!$E$8/12)</f>
        <v>0.33539658622001439</v>
      </c>
      <c r="S337" s="17">
        <f t="shared" si="122"/>
        <v>0</v>
      </c>
      <c r="T337" s="17">
        <f>T336*(1+$K$24)*Z337</f>
        <v>0</v>
      </c>
      <c r="U337" s="17">
        <f t="shared" si="123"/>
        <v>0</v>
      </c>
      <c r="V337" s="17">
        <f t="shared" si="124"/>
        <v>0</v>
      </c>
      <c r="W337" s="17">
        <f t="shared" si="125"/>
        <v>0</v>
      </c>
      <c r="Y337">
        <f>(MONTH(E337)=MONTH(Assumptions!$E$6))*(YEAR(Assumptions!$E$6)=YEAR('Rent v Mortgage'!E337))</f>
        <v>0</v>
      </c>
      <c r="Z337">
        <f>--(SUM($Y$28:Y336)&lt;1)*AA337</f>
        <v>0</v>
      </c>
      <c r="AA337">
        <f t="shared" si="126"/>
        <v>1</v>
      </c>
      <c r="AB337" s="20"/>
      <c r="AC337">
        <f t="shared" si="127"/>
        <v>309</v>
      </c>
      <c r="AD337">
        <f t="shared" si="128"/>
        <v>2051</v>
      </c>
      <c r="AE337" s="12">
        <f t="shared" si="129"/>
        <v>55244</v>
      </c>
      <c r="AG337" s="19">
        <f t="shared" si="130"/>
        <v>0</v>
      </c>
      <c r="AH337" s="19">
        <f t="shared" si="131"/>
        <v>0</v>
      </c>
      <c r="AI337" s="19">
        <f t="shared" si="132"/>
        <v>0</v>
      </c>
      <c r="AK337" s="19">
        <f t="shared" si="133"/>
        <v>0</v>
      </c>
      <c r="AL337" s="19">
        <f ca="1">(IF(MOD(AC337,($AE$15*12)),0,$AG337-IFERROR(SUM(OFFSET(AL336,,,-$AE$15*12)),0))-SUM($AL$28:AL336)*(Z338=0))*(Z337=1)</f>
        <v>0</v>
      </c>
      <c r="AM337" s="19">
        <f t="shared" si="134"/>
        <v>0</v>
      </c>
      <c r="AN337" s="19">
        <f t="shared" si="135"/>
        <v>0</v>
      </c>
      <c r="AP337" s="19">
        <f t="shared" ca="1" si="109"/>
        <v>0</v>
      </c>
      <c r="AQ337" s="18">
        <f t="shared" si="110"/>
        <v>0.33539658622001439</v>
      </c>
    </row>
    <row r="338" spans="3:43" x14ac:dyDescent="0.25">
      <c r="C338">
        <f t="shared" si="111"/>
        <v>310</v>
      </c>
      <c r="D338">
        <f t="shared" si="112"/>
        <v>25</v>
      </c>
      <c r="E338" s="12">
        <f t="shared" si="113"/>
        <v>55274</v>
      </c>
      <c r="F338" s="12"/>
      <c r="G338" s="15">
        <f t="shared" si="114"/>
        <v>0</v>
      </c>
      <c r="H338" s="15">
        <f t="shared" si="115"/>
        <v>0</v>
      </c>
      <c r="I338" s="15"/>
      <c r="J338" s="16">
        <f t="shared" si="116"/>
        <v>0</v>
      </c>
      <c r="K338" s="16">
        <f t="shared" si="117"/>
        <v>0</v>
      </c>
      <c r="L338">
        <f t="shared" si="118"/>
        <v>0</v>
      </c>
      <c r="M338">
        <f t="shared" si="119"/>
        <v>0</v>
      </c>
      <c r="N338" s="16">
        <f t="shared" si="120"/>
        <v>0</v>
      </c>
      <c r="O338" s="16"/>
      <c r="P338" s="17">
        <f t="shared" si="121"/>
        <v>0</v>
      </c>
      <c r="Q338">
        <f>Q337/(1+Assumptions!$E$8/12)</f>
        <v>0.33421291547769749</v>
      </c>
      <c r="S338" s="17">
        <f t="shared" si="122"/>
        <v>0</v>
      </c>
      <c r="T338" s="17">
        <f>T337*(1+$K$24)*Z338</f>
        <v>0</v>
      </c>
      <c r="U338" s="17">
        <f t="shared" si="123"/>
        <v>0</v>
      </c>
      <c r="V338" s="17">
        <f t="shared" si="124"/>
        <v>0</v>
      </c>
      <c r="W338" s="17">
        <f t="shared" si="125"/>
        <v>0</v>
      </c>
      <c r="Y338">
        <f>(MONTH(E338)=MONTH(Assumptions!$E$6))*(YEAR(Assumptions!$E$6)=YEAR('Rent v Mortgage'!E338))</f>
        <v>0</v>
      </c>
      <c r="Z338">
        <f>--(SUM($Y$28:Y337)&lt;1)*AA338</f>
        <v>0</v>
      </c>
      <c r="AA338">
        <f t="shared" si="126"/>
        <v>1</v>
      </c>
      <c r="AB338" s="20"/>
      <c r="AC338">
        <f t="shared" si="127"/>
        <v>310</v>
      </c>
      <c r="AD338">
        <f t="shared" si="128"/>
        <v>2051</v>
      </c>
      <c r="AE338" s="12">
        <f t="shared" si="129"/>
        <v>55274</v>
      </c>
      <c r="AG338" s="19">
        <f t="shared" si="130"/>
        <v>0</v>
      </c>
      <c r="AH338" s="19">
        <f t="shared" si="131"/>
        <v>0</v>
      </c>
      <c r="AI338" s="19">
        <f t="shared" si="132"/>
        <v>0</v>
      </c>
      <c r="AK338" s="19">
        <f t="shared" si="133"/>
        <v>0</v>
      </c>
      <c r="AL338" s="19">
        <f ca="1">(IF(MOD(AC338,($AE$15*12)),0,$AG338-IFERROR(SUM(OFFSET(AL337,,,-$AE$15*12)),0))-SUM($AL$28:AL337)*(Z339=0))*(Z338=1)</f>
        <v>0</v>
      </c>
      <c r="AM338" s="19">
        <f t="shared" si="134"/>
        <v>0</v>
      </c>
      <c r="AN338" s="19">
        <f t="shared" si="135"/>
        <v>0</v>
      </c>
      <c r="AP338" s="19">
        <f t="shared" ca="1" si="109"/>
        <v>0</v>
      </c>
      <c r="AQ338" s="18">
        <f t="shared" si="110"/>
        <v>0.33421291547769749</v>
      </c>
    </row>
    <row r="339" spans="3:43" x14ac:dyDescent="0.25">
      <c r="C339">
        <f t="shared" si="111"/>
        <v>311</v>
      </c>
      <c r="D339">
        <f t="shared" si="112"/>
        <v>25</v>
      </c>
      <c r="E339" s="12">
        <f t="shared" si="113"/>
        <v>55305</v>
      </c>
      <c r="F339" s="12"/>
      <c r="G339" s="15">
        <f t="shared" si="114"/>
        <v>0</v>
      </c>
      <c r="H339" s="15">
        <f t="shared" si="115"/>
        <v>0</v>
      </c>
      <c r="I339" s="15"/>
      <c r="J339" s="16">
        <f t="shared" si="116"/>
        <v>0</v>
      </c>
      <c r="K339" s="16">
        <f t="shared" si="117"/>
        <v>0</v>
      </c>
      <c r="L339">
        <f t="shared" si="118"/>
        <v>0</v>
      </c>
      <c r="M339">
        <f t="shared" si="119"/>
        <v>0</v>
      </c>
      <c r="N339" s="16">
        <f t="shared" si="120"/>
        <v>0</v>
      </c>
      <c r="O339" s="16"/>
      <c r="P339" s="17">
        <f t="shared" si="121"/>
        <v>0</v>
      </c>
      <c r="Q339">
        <f>Q338/(1+Assumptions!$E$8/12)</f>
        <v>0.33303342210773257</v>
      </c>
      <c r="S339" s="17">
        <f t="shared" si="122"/>
        <v>0</v>
      </c>
      <c r="T339" s="17">
        <f>T338*(1+$K$24)*Z339</f>
        <v>0</v>
      </c>
      <c r="U339" s="17">
        <f t="shared" si="123"/>
        <v>0</v>
      </c>
      <c r="V339" s="17">
        <f t="shared" si="124"/>
        <v>0</v>
      </c>
      <c r="W339" s="17">
        <f t="shared" si="125"/>
        <v>0</v>
      </c>
      <c r="Y339">
        <f>(MONTH(E339)=MONTH(Assumptions!$E$6))*(YEAR(Assumptions!$E$6)=YEAR('Rent v Mortgage'!E339))</f>
        <v>0</v>
      </c>
      <c r="Z339">
        <f>--(SUM($Y$28:Y338)&lt;1)*AA339</f>
        <v>0</v>
      </c>
      <c r="AA339">
        <f t="shared" si="126"/>
        <v>1</v>
      </c>
      <c r="AB339" s="20"/>
      <c r="AC339">
        <f t="shared" si="127"/>
        <v>311</v>
      </c>
      <c r="AD339">
        <f t="shared" si="128"/>
        <v>2051</v>
      </c>
      <c r="AE339" s="12">
        <f t="shared" si="129"/>
        <v>55305</v>
      </c>
      <c r="AG339" s="19">
        <f t="shared" si="130"/>
        <v>0</v>
      </c>
      <c r="AH339" s="19">
        <f t="shared" si="131"/>
        <v>0</v>
      </c>
      <c r="AI339" s="19">
        <f t="shared" si="132"/>
        <v>0</v>
      </c>
      <c r="AK339" s="19">
        <f t="shared" si="133"/>
        <v>0</v>
      </c>
      <c r="AL339" s="19">
        <f ca="1">(IF(MOD(AC339,($AE$15*12)),0,$AG339-IFERROR(SUM(OFFSET(AL338,,,-$AE$15*12)),0))-SUM($AL$28:AL338)*(Z340=0))*(Z339=1)</f>
        <v>0</v>
      </c>
      <c r="AM339" s="19">
        <f t="shared" si="134"/>
        <v>0</v>
      </c>
      <c r="AN339" s="19">
        <f t="shared" si="135"/>
        <v>0</v>
      </c>
      <c r="AP339" s="19">
        <f t="shared" ca="1" si="109"/>
        <v>0</v>
      </c>
      <c r="AQ339" s="18">
        <f t="shared" si="110"/>
        <v>0.33303342210773257</v>
      </c>
    </row>
    <row r="340" spans="3:43" x14ac:dyDescent="0.25">
      <c r="C340">
        <f t="shared" si="111"/>
        <v>312</v>
      </c>
      <c r="D340">
        <f t="shared" si="112"/>
        <v>26</v>
      </c>
      <c r="E340" s="12">
        <f t="shared" si="113"/>
        <v>55335</v>
      </c>
      <c r="F340" s="12"/>
      <c r="G340" s="15">
        <f t="shared" si="114"/>
        <v>0</v>
      </c>
      <c r="H340" s="15">
        <f t="shared" si="115"/>
        <v>0</v>
      </c>
      <c r="I340" s="15"/>
      <c r="J340" s="16">
        <f t="shared" si="116"/>
        <v>0</v>
      </c>
      <c r="K340" s="16">
        <f t="shared" si="117"/>
        <v>0</v>
      </c>
      <c r="L340">
        <f t="shared" si="118"/>
        <v>0</v>
      </c>
      <c r="M340">
        <f t="shared" si="119"/>
        <v>0</v>
      </c>
      <c r="N340" s="16">
        <f t="shared" si="120"/>
        <v>0</v>
      </c>
      <c r="O340" s="16"/>
      <c r="P340" s="17">
        <f t="shared" si="121"/>
        <v>0</v>
      </c>
      <c r="Q340">
        <f>Q339/(1+Assumptions!$E$8/12)</f>
        <v>0.33185809136747274</v>
      </c>
      <c r="S340" s="17">
        <f t="shared" si="122"/>
        <v>0</v>
      </c>
      <c r="T340" s="17">
        <f>T339*(1+$K$24)*Z340</f>
        <v>0</v>
      </c>
      <c r="U340" s="17">
        <f t="shared" si="123"/>
        <v>0</v>
      </c>
      <c r="V340" s="17">
        <f t="shared" si="124"/>
        <v>0</v>
      </c>
      <c r="W340" s="17">
        <f t="shared" si="125"/>
        <v>0</v>
      </c>
      <c r="Y340">
        <f>(MONTH(E340)=MONTH(Assumptions!$E$6))*(YEAR(Assumptions!$E$6)=YEAR('Rent v Mortgage'!E340))</f>
        <v>0</v>
      </c>
      <c r="Z340">
        <f>--(SUM($Y$28:Y339)&lt;1)*AA340</f>
        <v>0</v>
      </c>
      <c r="AA340">
        <f t="shared" si="126"/>
        <v>1</v>
      </c>
      <c r="AB340" s="20"/>
      <c r="AC340">
        <f t="shared" si="127"/>
        <v>312</v>
      </c>
      <c r="AD340">
        <f t="shared" si="128"/>
        <v>2051</v>
      </c>
      <c r="AE340" s="12">
        <f t="shared" si="129"/>
        <v>55335</v>
      </c>
      <c r="AG340" s="19">
        <f t="shared" si="130"/>
        <v>0</v>
      </c>
      <c r="AH340" s="19">
        <f t="shared" si="131"/>
        <v>0</v>
      </c>
      <c r="AI340" s="19">
        <f t="shared" si="132"/>
        <v>0</v>
      </c>
      <c r="AK340" s="19">
        <f t="shared" si="133"/>
        <v>0</v>
      </c>
      <c r="AL340" s="19">
        <f ca="1">(IF(MOD(AC340,($AE$15*12)),0,$AG340-IFERROR(SUM(OFFSET(AL339,,,-$AE$15*12)),0))-SUM($AL$28:AL339)*(Z341=0))*(Z340=1)</f>
        <v>0</v>
      </c>
      <c r="AM340" s="19">
        <f t="shared" si="134"/>
        <v>0</v>
      </c>
      <c r="AN340" s="19">
        <f t="shared" si="135"/>
        <v>0</v>
      </c>
      <c r="AP340" s="19">
        <f t="shared" ca="1" si="109"/>
        <v>0</v>
      </c>
      <c r="AQ340" s="18">
        <f t="shared" si="110"/>
        <v>0.33185809136747274</v>
      </c>
    </row>
    <row r="341" spans="3:43" x14ac:dyDescent="0.25">
      <c r="C341">
        <f t="shared" si="111"/>
        <v>313</v>
      </c>
      <c r="D341">
        <f t="shared" si="112"/>
        <v>26</v>
      </c>
      <c r="E341" s="12">
        <f t="shared" si="113"/>
        <v>55366</v>
      </c>
      <c r="F341" s="12"/>
      <c r="G341" s="15">
        <f t="shared" si="114"/>
        <v>0</v>
      </c>
      <c r="H341" s="15">
        <f t="shared" si="115"/>
        <v>0</v>
      </c>
      <c r="I341" s="15"/>
      <c r="J341" s="16">
        <f t="shared" si="116"/>
        <v>0</v>
      </c>
      <c r="K341" s="16">
        <f t="shared" si="117"/>
        <v>0</v>
      </c>
      <c r="L341">
        <f t="shared" si="118"/>
        <v>0</v>
      </c>
      <c r="M341">
        <f t="shared" si="119"/>
        <v>0</v>
      </c>
      <c r="N341" s="16">
        <f t="shared" si="120"/>
        <v>0</v>
      </c>
      <c r="O341" s="16"/>
      <c r="P341" s="17">
        <f t="shared" si="121"/>
        <v>0</v>
      </c>
      <c r="Q341">
        <f>Q340/(1+Assumptions!$E$8/12)</f>
        <v>0.3306869085663004</v>
      </c>
      <c r="S341" s="17">
        <f t="shared" si="122"/>
        <v>0</v>
      </c>
      <c r="T341" s="17">
        <f>T340*(1+$K$24)*Z341</f>
        <v>0</v>
      </c>
      <c r="U341" s="17">
        <f t="shared" si="123"/>
        <v>0</v>
      </c>
      <c r="V341" s="17">
        <f t="shared" si="124"/>
        <v>0</v>
      </c>
      <c r="W341" s="17">
        <f t="shared" si="125"/>
        <v>0</v>
      </c>
      <c r="Y341">
        <f>(MONTH(E341)=MONTH(Assumptions!$E$6))*(YEAR(Assumptions!$E$6)=YEAR('Rent v Mortgage'!E341))</f>
        <v>0</v>
      </c>
      <c r="Z341">
        <f>--(SUM($Y$28:Y340)&lt;1)*AA341</f>
        <v>0</v>
      </c>
      <c r="AA341">
        <f t="shared" si="126"/>
        <v>1</v>
      </c>
      <c r="AB341" s="20"/>
      <c r="AC341">
        <f t="shared" si="127"/>
        <v>313</v>
      </c>
      <c r="AD341">
        <f t="shared" si="128"/>
        <v>2051</v>
      </c>
      <c r="AE341" s="12">
        <f t="shared" si="129"/>
        <v>55366</v>
      </c>
      <c r="AG341" s="19">
        <f t="shared" si="130"/>
        <v>0</v>
      </c>
      <c r="AH341" s="19">
        <f t="shared" si="131"/>
        <v>0</v>
      </c>
      <c r="AI341" s="19">
        <f t="shared" si="132"/>
        <v>0</v>
      </c>
      <c r="AK341" s="19">
        <f t="shared" si="133"/>
        <v>0</v>
      </c>
      <c r="AL341" s="19">
        <f ca="1">(IF(MOD(AC341,($AE$15*12)),0,$AG341-IFERROR(SUM(OFFSET(AL340,,,-$AE$15*12)),0))-SUM($AL$28:AL340)*(Z342=0))*(Z341=1)</f>
        <v>0</v>
      </c>
      <c r="AM341" s="19">
        <f t="shared" si="134"/>
        <v>0</v>
      </c>
      <c r="AN341" s="19">
        <f t="shared" si="135"/>
        <v>0</v>
      </c>
      <c r="AP341" s="19">
        <f t="shared" ca="1" si="109"/>
        <v>0</v>
      </c>
      <c r="AQ341" s="18">
        <f t="shared" si="110"/>
        <v>0.3306869085663004</v>
      </c>
    </row>
    <row r="342" spans="3:43" x14ac:dyDescent="0.25">
      <c r="C342">
        <f t="shared" si="111"/>
        <v>314</v>
      </c>
      <c r="D342">
        <f t="shared" si="112"/>
        <v>26</v>
      </c>
      <c r="E342" s="12">
        <f t="shared" si="113"/>
        <v>55397</v>
      </c>
      <c r="F342" s="12"/>
      <c r="G342" s="15">
        <f t="shared" si="114"/>
        <v>0</v>
      </c>
      <c r="H342" s="15">
        <f t="shared" si="115"/>
        <v>0</v>
      </c>
      <c r="I342" s="15"/>
      <c r="J342" s="16">
        <f t="shared" si="116"/>
        <v>0</v>
      </c>
      <c r="K342" s="16">
        <f t="shared" si="117"/>
        <v>0</v>
      </c>
      <c r="L342">
        <f t="shared" si="118"/>
        <v>0</v>
      </c>
      <c r="M342">
        <f t="shared" si="119"/>
        <v>0</v>
      </c>
      <c r="N342" s="16">
        <f t="shared" si="120"/>
        <v>0</v>
      </c>
      <c r="O342" s="16"/>
      <c r="P342" s="17">
        <f t="shared" si="121"/>
        <v>0</v>
      </c>
      <c r="Q342">
        <f>Q341/(1+Assumptions!$E$8/12)</f>
        <v>0.32951985906544357</v>
      </c>
      <c r="S342" s="17">
        <f t="shared" si="122"/>
        <v>0</v>
      </c>
      <c r="T342" s="17">
        <f>T341*(1+$K$24)*Z342</f>
        <v>0</v>
      </c>
      <c r="U342" s="17">
        <f t="shared" si="123"/>
        <v>0</v>
      </c>
      <c r="V342" s="17">
        <f t="shared" si="124"/>
        <v>0</v>
      </c>
      <c r="W342" s="17">
        <f t="shared" si="125"/>
        <v>0</v>
      </c>
      <c r="Y342">
        <f>(MONTH(E342)=MONTH(Assumptions!$E$6))*(YEAR(Assumptions!$E$6)=YEAR('Rent v Mortgage'!E342))</f>
        <v>0</v>
      </c>
      <c r="Z342">
        <f>--(SUM($Y$28:Y341)&lt;1)*AA342</f>
        <v>0</v>
      </c>
      <c r="AA342">
        <f t="shared" si="126"/>
        <v>1</v>
      </c>
      <c r="AB342" s="20"/>
      <c r="AC342">
        <f t="shared" si="127"/>
        <v>314</v>
      </c>
      <c r="AD342">
        <f t="shared" si="128"/>
        <v>2051</v>
      </c>
      <c r="AE342" s="12">
        <f t="shared" si="129"/>
        <v>55397</v>
      </c>
      <c r="AG342" s="19">
        <f t="shared" si="130"/>
        <v>0</v>
      </c>
      <c r="AH342" s="19">
        <f t="shared" si="131"/>
        <v>0</v>
      </c>
      <c r="AI342" s="19">
        <f t="shared" si="132"/>
        <v>0</v>
      </c>
      <c r="AK342" s="19">
        <f t="shared" si="133"/>
        <v>0</v>
      </c>
      <c r="AL342" s="19">
        <f ca="1">(IF(MOD(AC342,($AE$15*12)),0,$AG342-IFERROR(SUM(OFFSET(AL341,,,-$AE$15*12)),0))-SUM($AL$28:AL341)*(Z343=0))*(Z342=1)</f>
        <v>0</v>
      </c>
      <c r="AM342" s="19">
        <f t="shared" si="134"/>
        <v>0</v>
      </c>
      <c r="AN342" s="19">
        <f t="shared" si="135"/>
        <v>0</v>
      </c>
      <c r="AP342" s="19">
        <f t="shared" ca="1" si="109"/>
        <v>0</v>
      </c>
      <c r="AQ342" s="18">
        <f t="shared" si="110"/>
        <v>0.32951985906544357</v>
      </c>
    </row>
    <row r="343" spans="3:43" x14ac:dyDescent="0.25">
      <c r="C343">
        <f t="shared" si="111"/>
        <v>315</v>
      </c>
      <c r="D343">
        <f t="shared" si="112"/>
        <v>26</v>
      </c>
      <c r="E343" s="12">
        <f t="shared" si="113"/>
        <v>55427</v>
      </c>
      <c r="F343" s="12"/>
      <c r="G343" s="15">
        <f t="shared" si="114"/>
        <v>0</v>
      </c>
      <c r="H343" s="15">
        <f t="shared" si="115"/>
        <v>0</v>
      </c>
      <c r="I343" s="15"/>
      <c r="J343" s="16">
        <f t="shared" si="116"/>
        <v>0</v>
      </c>
      <c r="K343" s="16">
        <f t="shared" si="117"/>
        <v>0</v>
      </c>
      <c r="L343">
        <f t="shared" si="118"/>
        <v>0</v>
      </c>
      <c r="M343">
        <f t="shared" si="119"/>
        <v>0</v>
      </c>
      <c r="N343" s="16">
        <f t="shared" si="120"/>
        <v>0</v>
      </c>
      <c r="O343" s="16"/>
      <c r="P343" s="17">
        <f t="shared" si="121"/>
        <v>0</v>
      </c>
      <c r="Q343">
        <f>Q342/(1+Assumptions!$E$8/12)</f>
        <v>0.328356928277793</v>
      </c>
      <c r="S343" s="17">
        <f t="shared" si="122"/>
        <v>0</v>
      </c>
      <c r="T343" s="17">
        <f>T342*(1+$K$24)*Z343</f>
        <v>0</v>
      </c>
      <c r="U343" s="17">
        <f t="shared" si="123"/>
        <v>0</v>
      </c>
      <c r="V343" s="17">
        <f t="shared" si="124"/>
        <v>0</v>
      </c>
      <c r="W343" s="17">
        <f t="shared" si="125"/>
        <v>0</v>
      </c>
      <c r="Y343">
        <f>(MONTH(E343)=MONTH(Assumptions!$E$6))*(YEAR(Assumptions!$E$6)=YEAR('Rent v Mortgage'!E343))</f>
        <v>0</v>
      </c>
      <c r="Z343">
        <f>--(SUM($Y$28:Y342)&lt;1)*AA343</f>
        <v>0</v>
      </c>
      <c r="AA343">
        <f t="shared" si="126"/>
        <v>1</v>
      </c>
      <c r="AB343" s="20"/>
      <c r="AC343">
        <f t="shared" si="127"/>
        <v>315</v>
      </c>
      <c r="AD343">
        <f t="shared" si="128"/>
        <v>2051</v>
      </c>
      <c r="AE343" s="12">
        <f t="shared" si="129"/>
        <v>55427</v>
      </c>
      <c r="AG343" s="19">
        <f t="shared" si="130"/>
        <v>0</v>
      </c>
      <c r="AH343" s="19">
        <f t="shared" si="131"/>
        <v>0</v>
      </c>
      <c r="AI343" s="19">
        <f t="shared" si="132"/>
        <v>0</v>
      </c>
      <c r="AK343" s="19">
        <f t="shared" si="133"/>
        <v>0</v>
      </c>
      <c r="AL343" s="19">
        <f ca="1">(IF(MOD(AC343,($AE$15*12)),0,$AG343-IFERROR(SUM(OFFSET(AL342,,,-$AE$15*12)),0))-SUM($AL$28:AL342)*(Z344=0))*(Z343=1)</f>
        <v>0</v>
      </c>
      <c r="AM343" s="19">
        <f t="shared" si="134"/>
        <v>0</v>
      </c>
      <c r="AN343" s="19">
        <f t="shared" si="135"/>
        <v>0</v>
      </c>
      <c r="AP343" s="19">
        <f t="shared" ca="1" si="109"/>
        <v>0</v>
      </c>
      <c r="AQ343" s="18">
        <f t="shared" si="110"/>
        <v>0.328356928277793</v>
      </c>
    </row>
    <row r="344" spans="3:43" x14ac:dyDescent="0.25">
      <c r="C344">
        <f t="shared" si="111"/>
        <v>316</v>
      </c>
      <c r="D344">
        <f t="shared" si="112"/>
        <v>26</v>
      </c>
      <c r="E344" s="12">
        <f t="shared" si="113"/>
        <v>55458</v>
      </c>
      <c r="F344" s="12"/>
      <c r="G344" s="15">
        <f t="shared" si="114"/>
        <v>0</v>
      </c>
      <c r="H344" s="15">
        <f t="shared" si="115"/>
        <v>0</v>
      </c>
      <c r="I344" s="15"/>
      <c r="J344" s="16">
        <f t="shared" si="116"/>
        <v>0</v>
      </c>
      <c r="K344" s="16">
        <f t="shared" si="117"/>
        <v>0</v>
      </c>
      <c r="L344">
        <f t="shared" si="118"/>
        <v>0</v>
      </c>
      <c r="M344">
        <f t="shared" si="119"/>
        <v>0</v>
      </c>
      <c r="N344" s="16">
        <f t="shared" si="120"/>
        <v>0</v>
      </c>
      <c r="O344" s="16"/>
      <c r="P344" s="17">
        <f t="shared" si="121"/>
        <v>0</v>
      </c>
      <c r="Q344">
        <f>Q343/(1+Assumptions!$E$8/12)</f>
        <v>0.32719810166771979</v>
      </c>
      <c r="S344" s="17">
        <f t="shared" si="122"/>
        <v>0</v>
      </c>
      <c r="T344" s="17">
        <f>T343*(1+$K$24)*Z344</f>
        <v>0</v>
      </c>
      <c r="U344" s="17">
        <f t="shared" si="123"/>
        <v>0</v>
      </c>
      <c r="V344" s="17">
        <f t="shared" si="124"/>
        <v>0</v>
      </c>
      <c r="W344" s="17">
        <f t="shared" si="125"/>
        <v>0</v>
      </c>
      <c r="Y344">
        <f>(MONTH(E344)=MONTH(Assumptions!$E$6))*(YEAR(Assumptions!$E$6)=YEAR('Rent v Mortgage'!E344))</f>
        <v>0</v>
      </c>
      <c r="Z344">
        <f>--(SUM($Y$28:Y343)&lt;1)*AA344</f>
        <v>0</v>
      </c>
      <c r="AA344">
        <f t="shared" si="126"/>
        <v>1</v>
      </c>
      <c r="AB344" s="20"/>
      <c r="AC344">
        <f t="shared" si="127"/>
        <v>316</v>
      </c>
      <c r="AD344">
        <f t="shared" si="128"/>
        <v>2051</v>
      </c>
      <c r="AE344" s="12">
        <f t="shared" si="129"/>
        <v>55458</v>
      </c>
      <c r="AG344" s="19">
        <f t="shared" si="130"/>
        <v>0</v>
      </c>
      <c r="AH344" s="19">
        <f t="shared" si="131"/>
        <v>0</v>
      </c>
      <c r="AI344" s="19">
        <f t="shared" si="132"/>
        <v>0</v>
      </c>
      <c r="AK344" s="19">
        <f t="shared" si="133"/>
        <v>0</v>
      </c>
      <c r="AL344" s="19">
        <f ca="1">(IF(MOD(AC344,($AE$15*12)),0,$AG344-IFERROR(SUM(OFFSET(AL343,,,-$AE$15*12)),0))-SUM($AL$28:AL343)*(Z345=0))*(Z344=1)</f>
        <v>0</v>
      </c>
      <c r="AM344" s="19">
        <f t="shared" si="134"/>
        <v>0</v>
      </c>
      <c r="AN344" s="19">
        <f t="shared" si="135"/>
        <v>0</v>
      </c>
      <c r="AP344" s="19">
        <f t="shared" ca="1" si="109"/>
        <v>0</v>
      </c>
      <c r="AQ344" s="18">
        <f t="shared" si="110"/>
        <v>0.32719810166771979</v>
      </c>
    </row>
    <row r="345" spans="3:43" x14ac:dyDescent="0.25">
      <c r="C345">
        <f t="shared" si="111"/>
        <v>317</v>
      </c>
      <c r="D345">
        <f t="shared" si="112"/>
        <v>26</v>
      </c>
      <c r="E345" s="12">
        <f t="shared" si="113"/>
        <v>55488</v>
      </c>
      <c r="F345" s="12"/>
      <c r="G345" s="15">
        <f t="shared" si="114"/>
        <v>0</v>
      </c>
      <c r="H345" s="15">
        <f t="shared" si="115"/>
        <v>0</v>
      </c>
      <c r="I345" s="15"/>
      <c r="J345" s="16">
        <f t="shared" si="116"/>
        <v>0</v>
      </c>
      <c r="K345" s="16">
        <f t="shared" si="117"/>
        <v>0</v>
      </c>
      <c r="L345">
        <f t="shared" si="118"/>
        <v>0</v>
      </c>
      <c r="M345">
        <f t="shared" si="119"/>
        <v>0</v>
      </c>
      <c r="N345" s="16">
        <f t="shared" si="120"/>
        <v>0</v>
      </c>
      <c r="O345" s="16"/>
      <c r="P345" s="17">
        <f t="shared" si="121"/>
        <v>0</v>
      </c>
      <c r="Q345">
        <f>Q344/(1+Assumptions!$E$8/12)</f>
        <v>0.32604336475089368</v>
      </c>
      <c r="S345" s="17">
        <f t="shared" si="122"/>
        <v>0</v>
      </c>
      <c r="T345" s="17">
        <f>T344*(1+$K$24)*Z345</f>
        <v>0</v>
      </c>
      <c r="U345" s="17">
        <f t="shared" si="123"/>
        <v>0</v>
      </c>
      <c r="V345" s="17">
        <f t="shared" si="124"/>
        <v>0</v>
      </c>
      <c r="W345" s="17">
        <f t="shared" si="125"/>
        <v>0</v>
      </c>
      <c r="Y345">
        <f>(MONTH(E345)=MONTH(Assumptions!$E$6))*(YEAR(Assumptions!$E$6)=YEAR('Rent v Mortgage'!E345))</f>
        <v>0</v>
      </c>
      <c r="Z345">
        <f>--(SUM($Y$28:Y344)&lt;1)*AA345</f>
        <v>0</v>
      </c>
      <c r="AA345">
        <f t="shared" si="126"/>
        <v>1</v>
      </c>
      <c r="AB345" s="20"/>
      <c r="AC345">
        <f t="shared" si="127"/>
        <v>317</v>
      </c>
      <c r="AD345">
        <f t="shared" si="128"/>
        <v>2051</v>
      </c>
      <c r="AE345" s="12">
        <f t="shared" si="129"/>
        <v>55488</v>
      </c>
      <c r="AG345" s="19">
        <f t="shared" si="130"/>
        <v>0</v>
      </c>
      <c r="AH345" s="19">
        <f t="shared" si="131"/>
        <v>0</v>
      </c>
      <c r="AI345" s="19">
        <f t="shared" si="132"/>
        <v>0</v>
      </c>
      <c r="AK345" s="19">
        <f t="shared" si="133"/>
        <v>0</v>
      </c>
      <c r="AL345" s="19">
        <f ca="1">(IF(MOD(AC345,($AE$15*12)),0,$AG345-IFERROR(SUM(OFFSET(AL344,,,-$AE$15*12)),0))-SUM($AL$28:AL344)*(Z346=0))*(Z345=1)</f>
        <v>0</v>
      </c>
      <c r="AM345" s="19">
        <f t="shared" si="134"/>
        <v>0</v>
      </c>
      <c r="AN345" s="19">
        <f t="shared" si="135"/>
        <v>0</v>
      </c>
      <c r="AP345" s="19">
        <f t="shared" ca="1" si="109"/>
        <v>0</v>
      </c>
      <c r="AQ345" s="18">
        <f t="shared" si="110"/>
        <v>0.32604336475089368</v>
      </c>
    </row>
    <row r="346" spans="3:43" x14ac:dyDescent="0.25">
      <c r="C346">
        <f t="shared" si="111"/>
        <v>318</v>
      </c>
      <c r="D346">
        <f t="shared" si="112"/>
        <v>26</v>
      </c>
      <c r="E346" s="12">
        <f t="shared" si="113"/>
        <v>55519</v>
      </c>
      <c r="F346" s="12"/>
      <c r="G346" s="15">
        <f t="shared" si="114"/>
        <v>0</v>
      </c>
      <c r="H346" s="15">
        <f t="shared" si="115"/>
        <v>0</v>
      </c>
      <c r="I346" s="15"/>
      <c r="J346" s="16">
        <f t="shared" si="116"/>
        <v>0</v>
      </c>
      <c r="K346" s="16">
        <f t="shared" si="117"/>
        <v>0</v>
      </c>
      <c r="L346">
        <f t="shared" si="118"/>
        <v>0</v>
      </c>
      <c r="M346">
        <f t="shared" si="119"/>
        <v>0</v>
      </c>
      <c r="N346" s="16">
        <f t="shared" si="120"/>
        <v>0</v>
      </c>
      <c r="O346" s="16"/>
      <c r="P346" s="17">
        <f t="shared" si="121"/>
        <v>0</v>
      </c>
      <c r="Q346">
        <f>Q345/(1+Assumptions!$E$8/12)</f>
        <v>0.32489270309410201</v>
      </c>
      <c r="S346" s="17">
        <f t="shared" si="122"/>
        <v>0</v>
      </c>
      <c r="T346" s="17">
        <f>T345*(1+$K$24)*Z346</f>
        <v>0</v>
      </c>
      <c r="U346" s="17">
        <f t="shared" si="123"/>
        <v>0</v>
      </c>
      <c r="V346" s="17">
        <f t="shared" si="124"/>
        <v>0</v>
      </c>
      <c r="W346" s="17">
        <f t="shared" si="125"/>
        <v>0</v>
      </c>
      <c r="Y346">
        <f>(MONTH(E346)=MONTH(Assumptions!$E$6))*(YEAR(Assumptions!$E$6)=YEAR('Rent v Mortgage'!E346))</f>
        <v>0</v>
      </c>
      <c r="Z346">
        <f>--(SUM($Y$28:Y345)&lt;1)*AA346</f>
        <v>0</v>
      </c>
      <c r="AA346">
        <f t="shared" si="126"/>
        <v>1</v>
      </c>
      <c r="AB346" s="20"/>
      <c r="AC346">
        <f t="shared" si="127"/>
        <v>318</v>
      </c>
      <c r="AD346">
        <f t="shared" si="128"/>
        <v>2052</v>
      </c>
      <c r="AE346" s="12">
        <f t="shared" si="129"/>
        <v>55519</v>
      </c>
      <c r="AG346" s="19">
        <f t="shared" si="130"/>
        <v>0</v>
      </c>
      <c r="AH346" s="19">
        <f t="shared" si="131"/>
        <v>0</v>
      </c>
      <c r="AI346" s="19">
        <f t="shared" si="132"/>
        <v>0</v>
      </c>
      <c r="AK346" s="19">
        <f t="shared" si="133"/>
        <v>0</v>
      </c>
      <c r="AL346" s="19">
        <f ca="1">(IF(MOD(AC346,($AE$15*12)),0,$AG346-IFERROR(SUM(OFFSET(AL345,,,-$AE$15*12)),0))-SUM($AL$28:AL345)*(Z347=0))*(Z346=1)</f>
        <v>0</v>
      </c>
      <c r="AM346" s="19">
        <f t="shared" si="134"/>
        <v>0</v>
      </c>
      <c r="AN346" s="19">
        <f t="shared" si="135"/>
        <v>0</v>
      </c>
      <c r="AP346" s="19">
        <f t="shared" ca="1" si="109"/>
        <v>0</v>
      </c>
      <c r="AQ346" s="18">
        <f t="shared" si="110"/>
        <v>0.32489270309410201</v>
      </c>
    </row>
    <row r="347" spans="3:43" x14ac:dyDescent="0.25">
      <c r="C347">
        <f t="shared" si="111"/>
        <v>319</v>
      </c>
      <c r="D347">
        <f t="shared" si="112"/>
        <v>26</v>
      </c>
      <c r="E347" s="12">
        <f t="shared" si="113"/>
        <v>55550</v>
      </c>
      <c r="F347" s="12"/>
      <c r="G347" s="15">
        <f t="shared" si="114"/>
        <v>0</v>
      </c>
      <c r="H347" s="15">
        <f t="shared" si="115"/>
        <v>0</v>
      </c>
      <c r="I347" s="15"/>
      <c r="J347" s="16">
        <f t="shared" si="116"/>
        <v>0</v>
      </c>
      <c r="K347" s="16">
        <f t="shared" si="117"/>
        <v>0</v>
      </c>
      <c r="L347">
        <f t="shared" si="118"/>
        <v>0</v>
      </c>
      <c r="M347">
        <f t="shared" si="119"/>
        <v>0</v>
      </c>
      <c r="N347" s="16">
        <f t="shared" si="120"/>
        <v>0</v>
      </c>
      <c r="O347" s="16"/>
      <c r="P347" s="17">
        <f t="shared" si="121"/>
        <v>0</v>
      </c>
      <c r="Q347">
        <f>Q346/(1+Assumptions!$E$8/12)</f>
        <v>0.32374610231506945</v>
      </c>
      <c r="S347" s="17">
        <f t="shared" si="122"/>
        <v>0</v>
      </c>
      <c r="T347" s="17">
        <f>T346*(1+$K$24)*Z347</f>
        <v>0</v>
      </c>
      <c r="U347" s="17">
        <f t="shared" si="123"/>
        <v>0</v>
      </c>
      <c r="V347" s="17">
        <f t="shared" si="124"/>
        <v>0</v>
      </c>
      <c r="W347" s="17">
        <f t="shared" si="125"/>
        <v>0</v>
      </c>
      <c r="Y347">
        <f>(MONTH(E347)=MONTH(Assumptions!$E$6))*(YEAR(Assumptions!$E$6)=YEAR('Rent v Mortgage'!E347))</f>
        <v>0</v>
      </c>
      <c r="Z347">
        <f>--(SUM($Y$28:Y346)&lt;1)*AA347</f>
        <v>0</v>
      </c>
      <c r="AA347">
        <f t="shared" si="126"/>
        <v>1</v>
      </c>
      <c r="AB347" s="20"/>
      <c r="AC347">
        <f t="shared" si="127"/>
        <v>319</v>
      </c>
      <c r="AD347">
        <f t="shared" si="128"/>
        <v>2052</v>
      </c>
      <c r="AE347" s="12">
        <f t="shared" si="129"/>
        <v>55550</v>
      </c>
      <c r="AG347" s="19">
        <f t="shared" si="130"/>
        <v>0</v>
      </c>
      <c r="AH347" s="19">
        <f t="shared" si="131"/>
        <v>0</v>
      </c>
      <c r="AI347" s="19">
        <f t="shared" si="132"/>
        <v>0</v>
      </c>
      <c r="AK347" s="19">
        <f t="shared" si="133"/>
        <v>0</v>
      </c>
      <c r="AL347" s="19">
        <f ca="1">(IF(MOD(AC347,($AE$15*12)),0,$AG347-IFERROR(SUM(OFFSET(AL346,,,-$AE$15*12)),0))-SUM($AL$28:AL346)*(Z348=0))*(Z347=1)</f>
        <v>0</v>
      </c>
      <c r="AM347" s="19">
        <f t="shared" si="134"/>
        <v>0</v>
      </c>
      <c r="AN347" s="19">
        <f t="shared" si="135"/>
        <v>0</v>
      </c>
      <c r="AP347" s="19">
        <f t="shared" ca="1" si="109"/>
        <v>0</v>
      </c>
      <c r="AQ347" s="18">
        <f t="shared" si="110"/>
        <v>0.32374610231506945</v>
      </c>
    </row>
    <row r="348" spans="3:43" x14ac:dyDescent="0.25">
      <c r="C348">
        <f t="shared" si="111"/>
        <v>320</v>
      </c>
      <c r="D348">
        <f t="shared" si="112"/>
        <v>26</v>
      </c>
      <c r="E348" s="12">
        <f t="shared" si="113"/>
        <v>55579</v>
      </c>
      <c r="F348" s="12"/>
      <c r="G348" s="15">
        <f t="shared" si="114"/>
        <v>0</v>
      </c>
      <c r="H348" s="15">
        <f t="shared" si="115"/>
        <v>0</v>
      </c>
      <c r="I348" s="15"/>
      <c r="J348" s="16">
        <f t="shared" si="116"/>
        <v>0</v>
      </c>
      <c r="K348" s="16">
        <f t="shared" si="117"/>
        <v>0</v>
      </c>
      <c r="L348">
        <f t="shared" si="118"/>
        <v>0</v>
      </c>
      <c r="M348">
        <f t="shared" si="119"/>
        <v>0</v>
      </c>
      <c r="N348" s="16">
        <f t="shared" si="120"/>
        <v>0</v>
      </c>
      <c r="O348" s="16"/>
      <c r="P348" s="17">
        <f t="shared" si="121"/>
        <v>0</v>
      </c>
      <c r="Q348">
        <f>Q347/(1+Assumptions!$E$8/12)</f>
        <v>0.32260354808227804</v>
      </c>
      <c r="S348" s="17">
        <f t="shared" si="122"/>
        <v>0</v>
      </c>
      <c r="T348" s="17">
        <f>T347*(1+$K$24)*Z348</f>
        <v>0</v>
      </c>
      <c r="U348" s="17">
        <f t="shared" si="123"/>
        <v>0</v>
      </c>
      <c r="V348" s="17">
        <f t="shared" si="124"/>
        <v>0</v>
      </c>
      <c r="W348" s="17">
        <f t="shared" si="125"/>
        <v>0</v>
      </c>
      <c r="Y348">
        <f>(MONTH(E348)=MONTH(Assumptions!$E$6))*(YEAR(Assumptions!$E$6)=YEAR('Rent v Mortgage'!E348))</f>
        <v>0</v>
      </c>
      <c r="Z348">
        <f>--(SUM($Y$28:Y347)&lt;1)*AA348</f>
        <v>0</v>
      </c>
      <c r="AA348">
        <f t="shared" si="126"/>
        <v>1</v>
      </c>
      <c r="AB348" s="20"/>
      <c r="AC348">
        <f t="shared" si="127"/>
        <v>320</v>
      </c>
      <c r="AD348">
        <f t="shared" si="128"/>
        <v>2052</v>
      </c>
      <c r="AE348" s="12">
        <f t="shared" si="129"/>
        <v>55579</v>
      </c>
      <c r="AG348" s="19">
        <f t="shared" si="130"/>
        <v>0</v>
      </c>
      <c r="AH348" s="19">
        <f t="shared" si="131"/>
        <v>0</v>
      </c>
      <c r="AI348" s="19">
        <f t="shared" si="132"/>
        <v>0</v>
      </c>
      <c r="AK348" s="19">
        <f t="shared" si="133"/>
        <v>0</v>
      </c>
      <c r="AL348" s="19">
        <f ca="1">(IF(MOD(AC348,($AE$15*12)),0,$AG348-IFERROR(SUM(OFFSET(AL347,,,-$AE$15*12)),0))-SUM($AL$28:AL347)*(Z349=0))*(Z348=1)</f>
        <v>0</v>
      </c>
      <c r="AM348" s="19">
        <f t="shared" si="134"/>
        <v>0</v>
      </c>
      <c r="AN348" s="19">
        <f t="shared" si="135"/>
        <v>0</v>
      </c>
      <c r="AP348" s="19">
        <f t="shared" ca="1" si="109"/>
        <v>0</v>
      </c>
      <c r="AQ348" s="18">
        <f t="shared" si="110"/>
        <v>0.32260354808227804</v>
      </c>
    </row>
    <row r="349" spans="3:43" x14ac:dyDescent="0.25">
      <c r="C349">
        <f t="shared" si="111"/>
        <v>321</v>
      </c>
      <c r="D349">
        <f t="shared" si="112"/>
        <v>26</v>
      </c>
      <c r="E349" s="12">
        <f t="shared" si="113"/>
        <v>55610</v>
      </c>
      <c r="F349" s="12"/>
      <c r="G349" s="15">
        <f t="shared" si="114"/>
        <v>0</v>
      </c>
      <c r="H349" s="15">
        <f t="shared" si="115"/>
        <v>0</v>
      </c>
      <c r="I349" s="15"/>
      <c r="J349" s="16">
        <f t="shared" si="116"/>
        <v>0</v>
      </c>
      <c r="K349" s="16">
        <f t="shared" si="117"/>
        <v>0</v>
      </c>
      <c r="L349">
        <f t="shared" si="118"/>
        <v>0</v>
      </c>
      <c r="M349">
        <f t="shared" si="119"/>
        <v>0</v>
      </c>
      <c r="N349" s="16">
        <f t="shared" si="120"/>
        <v>0</v>
      </c>
      <c r="O349" s="16"/>
      <c r="P349" s="17">
        <f t="shared" si="121"/>
        <v>0</v>
      </c>
      <c r="Q349">
        <f>Q348/(1+Assumptions!$E$8/12)</f>
        <v>0.32146502611478811</v>
      </c>
      <c r="S349" s="17">
        <f t="shared" si="122"/>
        <v>0</v>
      </c>
      <c r="T349" s="17">
        <f>T348*(1+$K$24)*Z349</f>
        <v>0</v>
      </c>
      <c r="U349" s="17">
        <f t="shared" si="123"/>
        <v>0</v>
      </c>
      <c r="V349" s="17">
        <f t="shared" si="124"/>
        <v>0</v>
      </c>
      <c r="W349" s="17">
        <f t="shared" si="125"/>
        <v>0</v>
      </c>
      <c r="Y349">
        <f>(MONTH(E349)=MONTH(Assumptions!$E$6))*(YEAR(Assumptions!$E$6)=YEAR('Rent v Mortgage'!E349))</f>
        <v>0</v>
      </c>
      <c r="Z349">
        <f>--(SUM($Y$28:Y348)&lt;1)*AA349</f>
        <v>0</v>
      </c>
      <c r="AA349">
        <f t="shared" si="126"/>
        <v>1</v>
      </c>
      <c r="AB349" s="20"/>
      <c r="AC349">
        <f t="shared" si="127"/>
        <v>321</v>
      </c>
      <c r="AD349">
        <f t="shared" si="128"/>
        <v>2052</v>
      </c>
      <c r="AE349" s="12">
        <f t="shared" si="129"/>
        <v>55610</v>
      </c>
      <c r="AG349" s="19">
        <f t="shared" si="130"/>
        <v>0</v>
      </c>
      <c r="AH349" s="19">
        <f t="shared" si="131"/>
        <v>0</v>
      </c>
      <c r="AI349" s="19">
        <f t="shared" si="132"/>
        <v>0</v>
      </c>
      <c r="AK349" s="19">
        <f t="shared" si="133"/>
        <v>0</v>
      </c>
      <c r="AL349" s="19">
        <f ca="1">(IF(MOD(AC349,($AE$15*12)),0,$AG349-IFERROR(SUM(OFFSET(AL348,,,-$AE$15*12)),0))-SUM($AL$28:AL348)*(Z350=0))*(Z349=1)</f>
        <v>0</v>
      </c>
      <c r="AM349" s="19">
        <f t="shared" si="134"/>
        <v>0</v>
      </c>
      <c r="AN349" s="19">
        <f t="shared" si="135"/>
        <v>0</v>
      </c>
      <c r="AP349" s="19">
        <f t="shared" ref="AP349:AP388" ca="1" si="136">SUM(AG349:AN349)*-1</f>
        <v>0</v>
      </c>
      <c r="AQ349" s="18">
        <f t="shared" ref="AQ349:AQ388" si="137">Q349</f>
        <v>0.32146502611478811</v>
      </c>
    </row>
    <row r="350" spans="3:43" x14ac:dyDescent="0.25">
      <c r="C350">
        <f t="shared" ref="C350:C388" si="138">C349+1</f>
        <v>322</v>
      </c>
      <c r="D350">
        <f t="shared" ref="D350:D388" si="139">DATEDIF($E$28,E350,"y")</f>
        <v>26</v>
      </c>
      <c r="E350" s="12">
        <f t="shared" ref="E350:E388" si="140">EDATE(E349,1)</f>
        <v>55640</v>
      </c>
      <c r="F350" s="12"/>
      <c r="G350" s="15">
        <f t="shared" ref="G350:G388" si="141">IF(Z350,-PPMT($H$8/12,C350,$H$7*12,$H$5*(1-$H$9)),0)</f>
        <v>0</v>
      </c>
      <c r="H350" s="15">
        <f t="shared" ref="H350:H388" si="142">IF(Z350,($H$6-G350),0)</f>
        <v>0</v>
      </c>
      <c r="I350" s="15"/>
      <c r="J350" s="16">
        <f t="shared" ref="J350:J388" si="143">IF(Z350,($H$15*$H$5/12),0)</f>
        <v>0</v>
      </c>
      <c r="K350" s="16">
        <f t="shared" ref="K350:K388" si="144">IF(Z350,($H$14*$H$5/12),0)</f>
        <v>0</v>
      </c>
      <c r="L350">
        <f t="shared" ref="L350:L388" si="145">IF(MOD(C350,12),0,$H$16*T350)*Z350</f>
        <v>0</v>
      </c>
      <c r="M350">
        <f t="shared" ref="M350:M388" si="146">IF(MOD(C350,3),0,$H$13*S350/4)*Z350</f>
        <v>0</v>
      </c>
      <c r="N350" s="16">
        <f t="shared" ref="N350:N388" si="147">$H$21*Z350*$H$20</f>
        <v>0</v>
      </c>
      <c r="O350" s="16"/>
      <c r="P350" s="17">
        <f t="shared" ref="P350:P388" si="148">-SUM(G350:N350)+Y350*W350</f>
        <v>0</v>
      </c>
      <c r="Q350">
        <f>Q349/(1+Assumptions!$E$8/12)</f>
        <v>0.32033052218205993</v>
      </c>
      <c r="S350" s="17">
        <f t="shared" ref="S350:S388" si="149">IF(MOD(C350,12),S349,T350)*Z350</f>
        <v>0</v>
      </c>
      <c r="T350" s="17">
        <f>T349*(1+$K$24)*Z350</f>
        <v>0</v>
      </c>
      <c r="U350" s="17">
        <f t="shared" ref="U350:U388" si="150">V349*Z350</f>
        <v>0</v>
      </c>
      <c r="V350" s="17">
        <f t="shared" ref="V350:V388" si="151">U350-G350</f>
        <v>0</v>
      </c>
      <c r="W350" s="17">
        <f t="shared" ref="W350:W388" si="152">T350-V350</f>
        <v>0</v>
      </c>
      <c r="Y350">
        <f>(MONTH(E350)=MONTH(Assumptions!$E$6))*(YEAR(Assumptions!$E$6)=YEAR('Rent v Mortgage'!E350))</f>
        <v>0</v>
      </c>
      <c r="Z350">
        <f>--(SUM($Y$28:Y349)&lt;1)*AA350</f>
        <v>0</v>
      </c>
      <c r="AA350">
        <f t="shared" ref="AA350:AA388" si="153">(C350&lt;=$H$7*12)*1</f>
        <v>1</v>
      </c>
      <c r="AB350" s="20"/>
      <c r="AC350">
        <f t="shared" ref="AC350:AC388" si="154">C350</f>
        <v>322</v>
      </c>
      <c r="AD350">
        <f t="shared" ref="AD350:AD388" si="155">YEAR(AE350)</f>
        <v>2052</v>
      </c>
      <c r="AE350" s="12">
        <f t="shared" ref="AE350:AE388" si="156">E350</f>
        <v>55640</v>
      </c>
      <c r="AG350" s="19">
        <f t="shared" ref="AG350:AG388" si="157">AG349*(1+$AE$18*(MOD(AC350,12)=0))*Z350</f>
        <v>0</v>
      </c>
      <c r="AH350" s="19">
        <f t="shared" ref="AH350:AH388" si="158">$AE$7*$AG349*Z350</f>
        <v>0</v>
      </c>
      <c r="AI350" s="19">
        <f t="shared" ref="AI350:AI388" si="159">IF(MOD(AC350,12),0,$AE$8)*Z350</f>
        <v>0</v>
      </c>
      <c r="AK350" s="19">
        <f t="shared" ref="AK350:AK388" si="160">IF(MOD(AC350,($AE$15*12)),0,$AE$11)*Z350</f>
        <v>0</v>
      </c>
      <c r="AL350" s="19">
        <f ca="1">(IF(MOD(AC350,($AE$15*12)),0,$AG350-IFERROR(SUM(OFFSET(AL349,,,-$AE$15*12)),0))-SUM($AL$28:AL349)*(Z351=0))*(Z350=1)</f>
        <v>0</v>
      </c>
      <c r="AM350" s="19">
        <f t="shared" ref="AM350:AM388" si="161">IF(MOD(AC350,($AE$15*12)),0,$AE$13)*Z350</f>
        <v>0</v>
      </c>
      <c r="AN350" s="19">
        <f t="shared" ref="AN350:AN388" si="162">AG350*$AE$17*(Z351=0)</f>
        <v>0</v>
      </c>
      <c r="AP350" s="19">
        <f t="shared" ca="1" si="136"/>
        <v>0</v>
      </c>
      <c r="AQ350" s="18">
        <f t="shared" si="137"/>
        <v>0.32033052218205993</v>
      </c>
    </row>
    <row r="351" spans="3:43" x14ac:dyDescent="0.25">
      <c r="C351">
        <f t="shared" si="138"/>
        <v>323</v>
      </c>
      <c r="D351">
        <f t="shared" si="139"/>
        <v>26</v>
      </c>
      <c r="E351" s="12">
        <f t="shared" si="140"/>
        <v>55671</v>
      </c>
      <c r="F351" s="12"/>
      <c r="G351" s="15">
        <f t="shared" si="141"/>
        <v>0</v>
      </c>
      <c r="H351" s="15">
        <f t="shared" si="142"/>
        <v>0</v>
      </c>
      <c r="I351" s="15"/>
      <c r="J351" s="16">
        <f t="shared" si="143"/>
        <v>0</v>
      </c>
      <c r="K351" s="16">
        <f t="shared" si="144"/>
        <v>0</v>
      </c>
      <c r="L351">
        <f t="shared" si="145"/>
        <v>0</v>
      </c>
      <c r="M351">
        <f t="shared" si="146"/>
        <v>0</v>
      </c>
      <c r="N351" s="16">
        <f t="shared" si="147"/>
        <v>0</v>
      </c>
      <c r="O351" s="16"/>
      <c r="P351" s="17">
        <f t="shared" si="148"/>
        <v>0</v>
      </c>
      <c r="Q351">
        <f>Q350/(1+Assumptions!$E$8/12)</f>
        <v>0.31920002210377568</v>
      </c>
      <c r="S351" s="17">
        <f t="shared" si="149"/>
        <v>0</v>
      </c>
      <c r="T351" s="17">
        <f>T350*(1+$K$24)*Z351</f>
        <v>0</v>
      </c>
      <c r="U351" s="17">
        <f t="shared" si="150"/>
        <v>0</v>
      </c>
      <c r="V351" s="17">
        <f t="shared" si="151"/>
        <v>0</v>
      </c>
      <c r="W351" s="17">
        <f t="shared" si="152"/>
        <v>0</v>
      </c>
      <c r="Y351">
        <f>(MONTH(E351)=MONTH(Assumptions!$E$6))*(YEAR(Assumptions!$E$6)=YEAR('Rent v Mortgage'!E351))</f>
        <v>0</v>
      </c>
      <c r="Z351">
        <f>--(SUM($Y$28:Y350)&lt;1)*AA351</f>
        <v>0</v>
      </c>
      <c r="AA351">
        <f t="shared" si="153"/>
        <v>1</v>
      </c>
      <c r="AB351" s="20"/>
      <c r="AC351">
        <f t="shared" si="154"/>
        <v>323</v>
      </c>
      <c r="AD351">
        <f t="shared" si="155"/>
        <v>2052</v>
      </c>
      <c r="AE351" s="12">
        <f t="shared" si="156"/>
        <v>55671</v>
      </c>
      <c r="AG351" s="19">
        <f t="shared" si="157"/>
        <v>0</v>
      </c>
      <c r="AH351" s="19">
        <f t="shared" si="158"/>
        <v>0</v>
      </c>
      <c r="AI351" s="19">
        <f t="shared" si="159"/>
        <v>0</v>
      </c>
      <c r="AK351" s="19">
        <f t="shared" si="160"/>
        <v>0</v>
      </c>
      <c r="AL351" s="19">
        <f ca="1">(IF(MOD(AC351,($AE$15*12)),0,$AG351-IFERROR(SUM(OFFSET(AL350,,,-$AE$15*12)),0))-SUM($AL$28:AL350)*(Z352=0))*(Z351=1)</f>
        <v>0</v>
      </c>
      <c r="AM351" s="19">
        <f t="shared" si="161"/>
        <v>0</v>
      </c>
      <c r="AN351" s="19">
        <f t="shared" si="162"/>
        <v>0</v>
      </c>
      <c r="AP351" s="19">
        <f t="shared" ca="1" si="136"/>
        <v>0</v>
      </c>
      <c r="AQ351" s="18">
        <f t="shared" si="137"/>
        <v>0.31920002210377568</v>
      </c>
    </row>
    <row r="352" spans="3:43" x14ac:dyDescent="0.25">
      <c r="C352">
        <f t="shared" si="138"/>
        <v>324</v>
      </c>
      <c r="D352">
        <f t="shared" si="139"/>
        <v>27</v>
      </c>
      <c r="E352" s="12">
        <f t="shared" si="140"/>
        <v>55701</v>
      </c>
      <c r="F352" s="12"/>
      <c r="G352" s="15">
        <f t="shared" si="141"/>
        <v>0</v>
      </c>
      <c r="H352" s="15">
        <f t="shared" si="142"/>
        <v>0</v>
      </c>
      <c r="I352" s="15"/>
      <c r="J352" s="16">
        <f t="shared" si="143"/>
        <v>0</v>
      </c>
      <c r="K352" s="16">
        <f t="shared" si="144"/>
        <v>0</v>
      </c>
      <c r="L352">
        <f t="shared" si="145"/>
        <v>0</v>
      </c>
      <c r="M352">
        <f t="shared" si="146"/>
        <v>0</v>
      </c>
      <c r="N352" s="16">
        <f t="shared" si="147"/>
        <v>0</v>
      </c>
      <c r="O352" s="16"/>
      <c r="P352" s="17">
        <f t="shared" si="148"/>
        <v>0</v>
      </c>
      <c r="Q352">
        <f>Q351/(1+Assumptions!$E$8/12)</f>
        <v>0.31807351174966225</v>
      </c>
      <c r="S352" s="17">
        <f t="shared" si="149"/>
        <v>0</v>
      </c>
      <c r="T352" s="17">
        <f>T351*(1+$K$24)*Z352</f>
        <v>0</v>
      </c>
      <c r="U352" s="17">
        <f t="shared" si="150"/>
        <v>0</v>
      </c>
      <c r="V352" s="17">
        <f t="shared" si="151"/>
        <v>0</v>
      </c>
      <c r="W352" s="17">
        <f t="shared" si="152"/>
        <v>0</v>
      </c>
      <c r="Y352">
        <f>(MONTH(E352)=MONTH(Assumptions!$E$6))*(YEAR(Assumptions!$E$6)=YEAR('Rent v Mortgage'!E352))</f>
        <v>0</v>
      </c>
      <c r="Z352">
        <f>--(SUM($Y$28:Y351)&lt;1)*AA352</f>
        <v>0</v>
      </c>
      <c r="AA352">
        <f t="shared" si="153"/>
        <v>1</v>
      </c>
      <c r="AB352" s="20"/>
      <c r="AC352">
        <f t="shared" si="154"/>
        <v>324</v>
      </c>
      <c r="AD352">
        <f t="shared" si="155"/>
        <v>2052</v>
      </c>
      <c r="AE352" s="12">
        <f t="shared" si="156"/>
        <v>55701</v>
      </c>
      <c r="AG352" s="19">
        <f t="shared" si="157"/>
        <v>0</v>
      </c>
      <c r="AH352" s="19">
        <f t="shared" si="158"/>
        <v>0</v>
      </c>
      <c r="AI352" s="19">
        <f t="shared" si="159"/>
        <v>0</v>
      </c>
      <c r="AK352" s="19">
        <f t="shared" si="160"/>
        <v>0</v>
      </c>
      <c r="AL352" s="19">
        <f ca="1">(IF(MOD(AC352,($AE$15*12)),0,$AG352-IFERROR(SUM(OFFSET(AL351,,,-$AE$15*12)),0))-SUM($AL$28:AL351)*(Z353=0))*(Z352=1)</f>
        <v>0</v>
      </c>
      <c r="AM352" s="19">
        <f t="shared" si="161"/>
        <v>0</v>
      </c>
      <c r="AN352" s="19">
        <f t="shared" si="162"/>
        <v>0</v>
      </c>
      <c r="AP352" s="19">
        <f t="shared" ca="1" si="136"/>
        <v>0</v>
      </c>
      <c r="AQ352" s="18">
        <f t="shared" si="137"/>
        <v>0.31807351174966225</v>
      </c>
    </row>
    <row r="353" spans="3:43" x14ac:dyDescent="0.25">
      <c r="C353">
        <f t="shared" si="138"/>
        <v>325</v>
      </c>
      <c r="D353">
        <f t="shared" si="139"/>
        <v>27</v>
      </c>
      <c r="E353" s="12">
        <f t="shared" si="140"/>
        <v>55732</v>
      </c>
      <c r="F353" s="12"/>
      <c r="G353" s="15">
        <f t="shared" si="141"/>
        <v>0</v>
      </c>
      <c r="H353" s="15">
        <f t="shared" si="142"/>
        <v>0</v>
      </c>
      <c r="I353" s="15"/>
      <c r="J353" s="16">
        <f t="shared" si="143"/>
        <v>0</v>
      </c>
      <c r="K353" s="16">
        <f t="shared" si="144"/>
        <v>0</v>
      </c>
      <c r="L353">
        <f t="shared" si="145"/>
        <v>0</v>
      </c>
      <c r="M353">
        <f t="shared" si="146"/>
        <v>0</v>
      </c>
      <c r="N353" s="16">
        <f t="shared" si="147"/>
        <v>0</v>
      </c>
      <c r="O353" s="16"/>
      <c r="P353" s="17">
        <f t="shared" si="148"/>
        <v>0</v>
      </c>
      <c r="Q353">
        <f>Q352/(1+Assumptions!$E$8/12)</f>
        <v>0.31695097703931463</v>
      </c>
      <c r="S353" s="17">
        <f t="shared" si="149"/>
        <v>0</v>
      </c>
      <c r="T353" s="17">
        <f>T352*(1+$K$24)*Z353</f>
        <v>0</v>
      </c>
      <c r="U353" s="17">
        <f t="shared" si="150"/>
        <v>0</v>
      </c>
      <c r="V353" s="17">
        <f t="shared" si="151"/>
        <v>0</v>
      </c>
      <c r="W353" s="17">
        <f t="shared" si="152"/>
        <v>0</v>
      </c>
      <c r="Y353">
        <f>(MONTH(E353)=MONTH(Assumptions!$E$6))*(YEAR(Assumptions!$E$6)=YEAR('Rent v Mortgage'!E353))</f>
        <v>0</v>
      </c>
      <c r="Z353">
        <f>--(SUM($Y$28:Y352)&lt;1)*AA353</f>
        <v>0</v>
      </c>
      <c r="AA353">
        <f t="shared" si="153"/>
        <v>1</v>
      </c>
      <c r="AB353" s="20"/>
      <c r="AC353">
        <f t="shared" si="154"/>
        <v>325</v>
      </c>
      <c r="AD353">
        <f t="shared" si="155"/>
        <v>2052</v>
      </c>
      <c r="AE353" s="12">
        <f t="shared" si="156"/>
        <v>55732</v>
      </c>
      <c r="AG353" s="19">
        <f t="shared" si="157"/>
        <v>0</v>
      </c>
      <c r="AH353" s="19">
        <f t="shared" si="158"/>
        <v>0</v>
      </c>
      <c r="AI353" s="19">
        <f t="shared" si="159"/>
        <v>0</v>
      </c>
      <c r="AK353" s="19">
        <f t="shared" si="160"/>
        <v>0</v>
      </c>
      <c r="AL353" s="19">
        <f ca="1">(IF(MOD(AC353,($AE$15*12)),0,$AG353-IFERROR(SUM(OFFSET(AL352,,,-$AE$15*12)),0))-SUM($AL$28:AL352)*(Z354=0))*(Z353=1)</f>
        <v>0</v>
      </c>
      <c r="AM353" s="19">
        <f t="shared" si="161"/>
        <v>0</v>
      </c>
      <c r="AN353" s="19">
        <f t="shared" si="162"/>
        <v>0</v>
      </c>
      <c r="AP353" s="19">
        <f t="shared" ca="1" si="136"/>
        <v>0</v>
      </c>
      <c r="AQ353" s="18">
        <f t="shared" si="137"/>
        <v>0.31695097703931463</v>
      </c>
    </row>
    <row r="354" spans="3:43" x14ac:dyDescent="0.25">
      <c r="C354">
        <f t="shared" si="138"/>
        <v>326</v>
      </c>
      <c r="D354">
        <f t="shared" si="139"/>
        <v>27</v>
      </c>
      <c r="E354" s="12">
        <f t="shared" si="140"/>
        <v>55763</v>
      </c>
      <c r="F354" s="12"/>
      <c r="G354" s="15">
        <f t="shared" si="141"/>
        <v>0</v>
      </c>
      <c r="H354" s="15">
        <f t="shared" si="142"/>
        <v>0</v>
      </c>
      <c r="I354" s="15"/>
      <c r="J354" s="16">
        <f t="shared" si="143"/>
        <v>0</v>
      </c>
      <c r="K354" s="16">
        <f t="shared" si="144"/>
        <v>0</v>
      </c>
      <c r="L354">
        <f t="shared" si="145"/>
        <v>0</v>
      </c>
      <c r="M354">
        <f t="shared" si="146"/>
        <v>0</v>
      </c>
      <c r="N354" s="16">
        <f t="shared" si="147"/>
        <v>0</v>
      </c>
      <c r="O354" s="16"/>
      <c r="P354" s="17">
        <f t="shared" si="148"/>
        <v>0</v>
      </c>
      <c r="Q354">
        <f>Q353/(1+Assumptions!$E$8/12)</f>
        <v>0.31583240394201995</v>
      </c>
      <c r="S354" s="17">
        <f t="shared" si="149"/>
        <v>0</v>
      </c>
      <c r="T354" s="17">
        <f>T353*(1+$K$24)*Z354</f>
        <v>0</v>
      </c>
      <c r="U354" s="17">
        <f t="shared" si="150"/>
        <v>0</v>
      </c>
      <c r="V354" s="17">
        <f t="shared" si="151"/>
        <v>0</v>
      </c>
      <c r="W354" s="17">
        <f t="shared" si="152"/>
        <v>0</v>
      </c>
      <c r="Y354">
        <f>(MONTH(E354)=MONTH(Assumptions!$E$6))*(YEAR(Assumptions!$E$6)=YEAR('Rent v Mortgage'!E354))</f>
        <v>0</v>
      </c>
      <c r="Z354">
        <f>--(SUM($Y$28:Y353)&lt;1)*AA354</f>
        <v>0</v>
      </c>
      <c r="AA354">
        <f t="shared" si="153"/>
        <v>1</v>
      </c>
      <c r="AB354" s="20"/>
      <c r="AC354">
        <f t="shared" si="154"/>
        <v>326</v>
      </c>
      <c r="AD354">
        <f t="shared" si="155"/>
        <v>2052</v>
      </c>
      <c r="AE354" s="12">
        <f t="shared" si="156"/>
        <v>55763</v>
      </c>
      <c r="AG354" s="19">
        <f t="shared" si="157"/>
        <v>0</v>
      </c>
      <c r="AH354" s="19">
        <f t="shared" si="158"/>
        <v>0</v>
      </c>
      <c r="AI354" s="19">
        <f t="shared" si="159"/>
        <v>0</v>
      </c>
      <c r="AK354" s="19">
        <f t="shared" si="160"/>
        <v>0</v>
      </c>
      <c r="AL354" s="19">
        <f ca="1">(IF(MOD(AC354,($AE$15*12)),0,$AG354-IFERROR(SUM(OFFSET(AL353,,,-$AE$15*12)),0))-SUM($AL$28:AL353)*(Z355=0))*(Z354=1)</f>
        <v>0</v>
      </c>
      <c r="AM354" s="19">
        <f t="shared" si="161"/>
        <v>0</v>
      </c>
      <c r="AN354" s="19">
        <f t="shared" si="162"/>
        <v>0</v>
      </c>
      <c r="AP354" s="19">
        <f t="shared" ca="1" si="136"/>
        <v>0</v>
      </c>
      <c r="AQ354" s="18">
        <f t="shared" si="137"/>
        <v>0.31583240394201995</v>
      </c>
    </row>
    <row r="355" spans="3:43" x14ac:dyDescent="0.25">
      <c r="C355">
        <f t="shared" si="138"/>
        <v>327</v>
      </c>
      <c r="D355">
        <f t="shared" si="139"/>
        <v>27</v>
      </c>
      <c r="E355" s="12">
        <f t="shared" si="140"/>
        <v>55793</v>
      </c>
      <c r="F355" s="12"/>
      <c r="G355" s="15">
        <f t="shared" si="141"/>
        <v>0</v>
      </c>
      <c r="H355" s="15">
        <f t="shared" si="142"/>
        <v>0</v>
      </c>
      <c r="I355" s="15"/>
      <c r="J355" s="16">
        <f t="shared" si="143"/>
        <v>0</v>
      </c>
      <c r="K355" s="16">
        <f t="shared" si="144"/>
        <v>0</v>
      </c>
      <c r="L355">
        <f t="shared" si="145"/>
        <v>0</v>
      </c>
      <c r="M355">
        <f t="shared" si="146"/>
        <v>0</v>
      </c>
      <c r="N355" s="16">
        <f t="shared" si="147"/>
        <v>0</v>
      </c>
      <c r="O355" s="16"/>
      <c r="P355" s="17">
        <f t="shared" si="148"/>
        <v>0</v>
      </c>
      <c r="Q355">
        <f>Q354/(1+Assumptions!$E$8/12)</f>
        <v>0.314717778476582</v>
      </c>
      <c r="S355" s="17">
        <f t="shared" si="149"/>
        <v>0</v>
      </c>
      <c r="T355" s="17">
        <f>T354*(1+$K$24)*Z355</f>
        <v>0</v>
      </c>
      <c r="U355" s="17">
        <f t="shared" si="150"/>
        <v>0</v>
      </c>
      <c r="V355" s="17">
        <f t="shared" si="151"/>
        <v>0</v>
      </c>
      <c r="W355" s="17">
        <f t="shared" si="152"/>
        <v>0</v>
      </c>
      <c r="Y355">
        <f>(MONTH(E355)=MONTH(Assumptions!$E$6))*(YEAR(Assumptions!$E$6)=YEAR('Rent v Mortgage'!E355))</f>
        <v>0</v>
      </c>
      <c r="Z355">
        <f>--(SUM($Y$28:Y354)&lt;1)*AA355</f>
        <v>0</v>
      </c>
      <c r="AA355">
        <f t="shared" si="153"/>
        <v>1</v>
      </c>
      <c r="AB355" s="20"/>
      <c r="AC355">
        <f t="shared" si="154"/>
        <v>327</v>
      </c>
      <c r="AD355">
        <f t="shared" si="155"/>
        <v>2052</v>
      </c>
      <c r="AE355" s="12">
        <f t="shared" si="156"/>
        <v>55793</v>
      </c>
      <c r="AG355" s="19">
        <f t="shared" si="157"/>
        <v>0</v>
      </c>
      <c r="AH355" s="19">
        <f t="shared" si="158"/>
        <v>0</v>
      </c>
      <c r="AI355" s="19">
        <f t="shared" si="159"/>
        <v>0</v>
      </c>
      <c r="AK355" s="19">
        <f t="shared" si="160"/>
        <v>0</v>
      </c>
      <c r="AL355" s="19">
        <f ca="1">(IF(MOD(AC355,($AE$15*12)),0,$AG355-IFERROR(SUM(OFFSET(AL354,,,-$AE$15*12)),0))-SUM($AL$28:AL354)*(Z356=0))*(Z355=1)</f>
        <v>0</v>
      </c>
      <c r="AM355" s="19">
        <f t="shared" si="161"/>
        <v>0</v>
      </c>
      <c r="AN355" s="19">
        <f t="shared" si="162"/>
        <v>0</v>
      </c>
      <c r="AP355" s="19">
        <f t="shared" ca="1" si="136"/>
        <v>0</v>
      </c>
      <c r="AQ355" s="18">
        <f t="shared" si="137"/>
        <v>0.314717778476582</v>
      </c>
    </row>
    <row r="356" spans="3:43" x14ac:dyDescent="0.25">
      <c r="C356">
        <f t="shared" si="138"/>
        <v>328</v>
      </c>
      <c r="D356">
        <f t="shared" si="139"/>
        <v>27</v>
      </c>
      <c r="E356" s="12">
        <f t="shared" si="140"/>
        <v>55824</v>
      </c>
      <c r="F356" s="12"/>
      <c r="G356" s="15">
        <f t="shared" si="141"/>
        <v>0</v>
      </c>
      <c r="H356" s="15">
        <f t="shared" si="142"/>
        <v>0</v>
      </c>
      <c r="I356" s="15"/>
      <c r="J356" s="16">
        <f t="shared" si="143"/>
        <v>0</v>
      </c>
      <c r="K356" s="16">
        <f t="shared" si="144"/>
        <v>0</v>
      </c>
      <c r="L356">
        <f t="shared" si="145"/>
        <v>0</v>
      </c>
      <c r="M356">
        <f t="shared" si="146"/>
        <v>0</v>
      </c>
      <c r="N356" s="16">
        <f t="shared" si="147"/>
        <v>0</v>
      </c>
      <c r="O356" s="16"/>
      <c r="P356" s="17">
        <f t="shared" si="148"/>
        <v>0</v>
      </c>
      <c r="Q356">
        <f>Q355/(1+Assumptions!$E$8/12)</f>
        <v>0.31360708671114668</v>
      </c>
      <c r="S356" s="17">
        <f t="shared" si="149"/>
        <v>0</v>
      </c>
      <c r="T356" s="17">
        <f>T355*(1+$K$24)*Z356</f>
        <v>0</v>
      </c>
      <c r="U356" s="17">
        <f t="shared" si="150"/>
        <v>0</v>
      </c>
      <c r="V356" s="17">
        <f t="shared" si="151"/>
        <v>0</v>
      </c>
      <c r="W356" s="17">
        <f t="shared" si="152"/>
        <v>0</v>
      </c>
      <c r="Y356">
        <f>(MONTH(E356)=MONTH(Assumptions!$E$6))*(YEAR(Assumptions!$E$6)=YEAR('Rent v Mortgage'!E356))</f>
        <v>0</v>
      </c>
      <c r="Z356">
        <f>--(SUM($Y$28:Y355)&lt;1)*AA356</f>
        <v>0</v>
      </c>
      <c r="AA356">
        <f t="shared" si="153"/>
        <v>1</v>
      </c>
      <c r="AB356" s="20"/>
      <c r="AC356">
        <f t="shared" si="154"/>
        <v>328</v>
      </c>
      <c r="AD356">
        <f t="shared" si="155"/>
        <v>2052</v>
      </c>
      <c r="AE356" s="12">
        <f t="shared" si="156"/>
        <v>55824</v>
      </c>
      <c r="AG356" s="19">
        <f t="shared" si="157"/>
        <v>0</v>
      </c>
      <c r="AH356" s="19">
        <f t="shared" si="158"/>
        <v>0</v>
      </c>
      <c r="AI356" s="19">
        <f t="shared" si="159"/>
        <v>0</v>
      </c>
      <c r="AK356" s="19">
        <f t="shared" si="160"/>
        <v>0</v>
      </c>
      <c r="AL356" s="19">
        <f ca="1">(IF(MOD(AC356,($AE$15*12)),0,$AG356-IFERROR(SUM(OFFSET(AL355,,,-$AE$15*12)),0))-SUM($AL$28:AL355)*(Z357=0))*(Z356=1)</f>
        <v>0</v>
      </c>
      <c r="AM356" s="19">
        <f t="shared" si="161"/>
        <v>0</v>
      </c>
      <c r="AN356" s="19">
        <f t="shared" si="162"/>
        <v>0</v>
      </c>
      <c r="AP356" s="19">
        <f t="shared" ca="1" si="136"/>
        <v>0</v>
      </c>
      <c r="AQ356" s="18">
        <f t="shared" si="137"/>
        <v>0.31360708671114668</v>
      </c>
    </row>
    <row r="357" spans="3:43" x14ac:dyDescent="0.25">
      <c r="C357">
        <f t="shared" si="138"/>
        <v>329</v>
      </c>
      <c r="D357">
        <f t="shared" si="139"/>
        <v>27</v>
      </c>
      <c r="E357" s="12">
        <f t="shared" si="140"/>
        <v>55854</v>
      </c>
      <c r="F357" s="12"/>
      <c r="G357" s="15">
        <f t="shared" si="141"/>
        <v>0</v>
      </c>
      <c r="H357" s="15">
        <f t="shared" si="142"/>
        <v>0</v>
      </c>
      <c r="I357" s="15"/>
      <c r="J357" s="16">
        <f t="shared" si="143"/>
        <v>0</v>
      </c>
      <c r="K357" s="16">
        <f t="shared" si="144"/>
        <v>0</v>
      </c>
      <c r="L357">
        <f t="shared" si="145"/>
        <v>0</v>
      </c>
      <c r="M357">
        <f t="shared" si="146"/>
        <v>0</v>
      </c>
      <c r="N357" s="16">
        <f t="shared" si="147"/>
        <v>0</v>
      </c>
      <c r="O357" s="16"/>
      <c r="P357" s="17">
        <f t="shared" si="148"/>
        <v>0</v>
      </c>
      <c r="Q357">
        <f>Q356/(1+Assumptions!$E$8/12)</f>
        <v>0.31250031476302759</v>
      </c>
      <c r="S357" s="17">
        <f t="shared" si="149"/>
        <v>0</v>
      </c>
      <c r="T357" s="17">
        <f>T356*(1+$K$24)*Z357</f>
        <v>0</v>
      </c>
      <c r="U357" s="17">
        <f t="shared" si="150"/>
        <v>0</v>
      </c>
      <c r="V357" s="17">
        <f t="shared" si="151"/>
        <v>0</v>
      </c>
      <c r="W357" s="17">
        <f t="shared" si="152"/>
        <v>0</v>
      </c>
      <c r="Y357">
        <f>(MONTH(E357)=MONTH(Assumptions!$E$6))*(YEAR(Assumptions!$E$6)=YEAR('Rent v Mortgage'!E357))</f>
        <v>0</v>
      </c>
      <c r="Z357">
        <f>--(SUM($Y$28:Y356)&lt;1)*AA357</f>
        <v>0</v>
      </c>
      <c r="AA357">
        <f t="shared" si="153"/>
        <v>1</v>
      </c>
      <c r="AB357" s="20"/>
      <c r="AC357">
        <f t="shared" si="154"/>
        <v>329</v>
      </c>
      <c r="AD357">
        <f t="shared" si="155"/>
        <v>2052</v>
      </c>
      <c r="AE357" s="12">
        <f t="shared" si="156"/>
        <v>55854</v>
      </c>
      <c r="AG357" s="19">
        <f t="shared" si="157"/>
        <v>0</v>
      </c>
      <c r="AH357" s="19">
        <f t="shared" si="158"/>
        <v>0</v>
      </c>
      <c r="AI357" s="19">
        <f t="shared" si="159"/>
        <v>0</v>
      </c>
      <c r="AK357" s="19">
        <f t="shared" si="160"/>
        <v>0</v>
      </c>
      <c r="AL357" s="19">
        <f ca="1">(IF(MOD(AC357,($AE$15*12)),0,$AG357-IFERROR(SUM(OFFSET(AL356,,,-$AE$15*12)),0))-SUM($AL$28:AL356)*(Z358=0))*(Z357=1)</f>
        <v>0</v>
      </c>
      <c r="AM357" s="19">
        <f t="shared" si="161"/>
        <v>0</v>
      </c>
      <c r="AN357" s="19">
        <f t="shared" si="162"/>
        <v>0</v>
      </c>
      <c r="AP357" s="19">
        <f t="shared" ca="1" si="136"/>
        <v>0</v>
      </c>
      <c r="AQ357" s="18">
        <f t="shared" si="137"/>
        <v>0.31250031476302759</v>
      </c>
    </row>
    <row r="358" spans="3:43" x14ac:dyDescent="0.25">
      <c r="C358">
        <f t="shared" si="138"/>
        <v>330</v>
      </c>
      <c r="D358">
        <f t="shared" si="139"/>
        <v>27</v>
      </c>
      <c r="E358" s="12">
        <f t="shared" si="140"/>
        <v>55885</v>
      </c>
      <c r="F358" s="12"/>
      <c r="G358" s="15">
        <f t="shared" si="141"/>
        <v>0</v>
      </c>
      <c r="H358" s="15">
        <f t="shared" si="142"/>
        <v>0</v>
      </c>
      <c r="I358" s="15"/>
      <c r="J358" s="16">
        <f t="shared" si="143"/>
        <v>0</v>
      </c>
      <c r="K358" s="16">
        <f t="shared" si="144"/>
        <v>0</v>
      </c>
      <c r="L358">
        <f t="shared" si="145"/>
        <v>0</v>
      </c>
      <c r="M358">
        <f t="shared" si="146"/>
        <v>0</v>
      </c>
      <c r="N358" s="16">
        <f t="shared" si="147"/>
        <v>0</v>
      </c>
      <c r="O358" s="16"/>
      <c r="P358" s="17">
        <f t="shared" si="148"/>
        <v>0</v>
      </c>
      <c r="Q358">
        <f>Q357/(1+Assumptions!$E$8/12)</f>
        <v>0.31139744879853276</v>
      </c>
      <c r="S358" s="17">
        <f t="shared" si="149"/>
        <v>0</v>
      </c>
      <c r="T358" s="17">
        <f>T357*(1+$K$24)*Z358</f>
        <v>0</v>
      </c>
      <c r="U358" s="17">
        <f t="shared" si="150"/>
        <v>0</v>
      </c>
      <c r="V358" s="17">
        <f t="shared" si="151"/>
        <v>0</v>
      </c>
      <c r="W358" s="17">
        <f t="shared" si="152"/>
        <v>0</v>
      </c>
      <c r="Y358">
        <f>(MONTH(E358)=MONTH(Assumptions!$E$6))*(YEAR(Assumptions!$E$6)=YEAR('Rent v Mortgage'!E358))</f>
        <v>0</v>
      </c>
      <c r="Z358">
        <f>--(SUM($Y$28:Y357)&lt;1)*AA358</f>
        <v>0</v>
      </c>
      <c r="AA358">
        <f t="shared" si="153"/>
        <v>1</v>
      </c>
      <c r="AB358" s="20"/>
      <c r="AC358">
        <f t="shared" si="154"/>
        <v>330</v>
      </c>
      <c r="AD358">
        <f t="shared" si="155"/>
        <v>2053</v>
      </c>
      <c r="AE358" s="12">
        <f t="shared" si="156"/>
        <v>55885</v>
      </c>
      <c r="AG358" s="19">
        <f t="shared" si="157"/>
        <v>0</v>
      </c>
      <c r="AH358" s="19">
        <f t="shared" si="158"/>
        <v>0</v>
      </c>
      <c r="AI358" s="19">
        <f t="shared" si="159"/>
        <v>0</v>
      </c>
      <c r="AK358" s="19">
        <f t="shared" si="160"/>
        <v>0</v>
      </c>
      <c r="AL358" s="19">
        <f ca="1">(IF(MOD(AC358,($AE$15*12)),0,$AG358-IFERROR(SUM(OFFSET(AL357,,,-$AE$15*12)),0))-SUM($AL$28:AL357)*(Z359=0))*(Z358=1)</f>
        <v>0</v>
      </c>
      <c r="AM358" s="19">
        <f t="shared" si="161"/>
        <v>0</v>
      </c>
      <c r="AN358" s="19">
        <f t="shared" si="162"/>
        <v>0</v>
      </c>
      <c r="AP358" s="19">
        <f t="shared" ca="1" si="136"/>
        <v>0</v>
      </c>
      <c r="AQ358" s="18">
        <f t="shared" si="137"/>
        <v>0.31139744879853276</v>
      </c>
    </row>
    <row r="359" spans="3:43" x14ac:dyDescent="0.25">
      <c r="C359">
        <f t="shared" si="138"/>
        <v>331</v>
      </c>
      <c r="D359">
        <f t="shared" si="139"/>
        <v>27</v>
      </c>
      <c r="E359" s="12">
        <f t="shared" si="140"/>
        <v>55916</v>
      </c>
      <c r="F359" s="12"/>
      <c r="G359" s="15">
        <f t="shared" si="141"/>
        <v>0</v>
      </c>
      <c r="H359" s="15">
        <f t="shared" si="142"/>
        <v>0</v>
      </c>
      <c r="I359" s="15"/>
      <c r="J359" s="16">
        <f t="shared" si="143"/>
        <v>0</v>
      </c>
      <c r="K359" s="16">
        <f t="shared" si="144"/>
        <v>0</v>
      </c>
      <c r="L359">
        <f t="shared" si="145"/>
        <v>0</v>
      </c>
      <c r="M359">
        <f t="shared" si="146"/>
        <v>0</v>
      </c>
      <c r="N359" s="16">
        <f t="shared" si="147"/>
        <v>0</v>
      </c>
      <c r="O359" s="16"/>
      <c r="P359" s="17">
        <f t="shared" si="148"/>
        <v>0</v>
      </c>
      <c r="Q359">
        <f>Q358/(1+Assumptions!$E$8/12)</f>
        <v>0.31029847503279157</v>
      </c>
      <c r="S359" s="17">
        <f t="shared" si="149"/>
        <v>0</v>
      </c>
      <c r="T359" s="17">
        <f>T358*(1+$K$24)*Z359</f>
        <v>0</v>
      </c>
      <c r="U359" s="17">
        <f t="shared" si="150"/>
        <v>0</v>
      </c>
      <c r="V359" s="17">
        <f t="shared" si="151"/>
        <v>0</v>
      </c>
      <c r="W359" s="17">
        <f t="shared" si="152"/>
        <v>0</v>
      </c>
      <c r="Y359">
        <f>(MONTH(E359)=MONTH(Assumptions!$E$6))*(YEAR(Assumptions!$E$6)=YEAR('Rent v Mortgage'!E359))</f>
        <v>0</v>
      </c>
      <c r="Z359">
        <f>--(SUM($Y$28:Y358)&lt;1)*AA359</f>
        <v>0</v>
      </c>
      <c r="AA359">
        <f t="shared" si="153"/>
        <v>1</v>
      </c>
      <c r="AB359" s="20"/>
      <c r="AC359">
        <f t="shared" si="154"/>
        <v>331</v>
      </c>
      <c r="AD359">
        <f t="shared" si="155"/>
        <v>2053</v>
      </c>
      <c r="AE359" s="12">
        <f t="shared" si="156"/>
        <v>55916</v>
      </c>
      <c r="AG359" s="19">
        <f t="shared" si="157"/>
        <v>0</v>
      </c>
      <c r="AH359" s="19">
        <f t="shared" si="158"/>
        <v>0</v>
      </c>
      <c r="AI359" s="19">
        <f t="shared" si="159"/>
        <v>0</v>
      </c>
      <c r="AK359" s="19">
        <f t="shared" si="160"/>
        <v>0</v>
      </c>
      <c r="AL359" s="19">
        <f ca="1">(IF(MOD(AC359,($AE$15*12)),0,$AG359-IFERROR(SUM(OFFSET(AL358,,,-$AE$15*12)),0))-SUM($AL$28:AL358)*(Z360=0))*(Z359=1)</f>
        <v>0</v>
      </c>
      <c r="AM359" s="19">
        <f t="shared" si="161"/>
        <v>0</v>
      </c>
      <c r="AN359" s="19">
        <f t="shared" si="162"/>
        <v>0</v>
      </c>
      <c r="AP359" s="19">
        <f t="shared" ca="1" si="136"/>
        <v>0</v>
      </c>
      <c r="AQ359" s="18">
        <f t="shared" si="137"/>
        <v>0.31029847503279157</v>
      </c>
    </row>
    <row r="360" spans="3:43" x14ac:dyDescent="0.25">
      <c r="C360">
        <f t="shared" si="138"/>
        <v>332</v>
      </c>
      <c r="D360">
        <f t="shared" si="139"/>
        <v>27</v>
      </c>
      <c r="E360" s="12">
        <f t="shared" si="140"/>
        <v>55944</v>
      </c>
      <c r="F360" s="12"/>
      <c r="G360" s="15">
        <f t="shared" si="141"/>
        <v>0</v>
      </c>
      <c r="H360" s="15">
        <f t="shared" si="142"/>
        <v>0</v>
      </c>
      <c r="I360" s="15"/>
      <c r="J360" s="16">
        <f t="shared" si="143"/>
        <v>0</v>
      </c>
      <c r="K360" s="16">
        <f t="shared" si="144"/>
        <v>0</v>
      </c>
      <c r="L360">
        <f t="shared" si="145"/>
        <v>0</v>
      </c>
      <c r="M360">
        <f t="shared" si="146"/>
        <v>0</v>
      </c>
      <c r="N360" s="16">
        <f t="shared" si="147"/>
        <v>0</v>
      </c>
      <c r="O360" s="16"/>
      <c r="P360" s="17">
        <f t="shared" si="148"/>
        <v>0</v>
      </c>
      <c r="Q360">
        <f>Q359/(1+Assumptions!$E$8/12)</f>
        <v>0.30920337972958262</v>
      </c>
      <c r="S360" s="17">
        <f t="shared" si="149"/>
        <v>0</v>
      </c>
      <c r="T360" s="17">
        <f>T359*(1+$K$24)*Z360</f>
        <v>0</v>
      </c>
      <c r="U360" s="17">
        <f t="shared" si="150"/>
        <v>0</v>
      </c>
      <c r="V360" s="17">
        <f t="shared" si="151"/>
        <v>0</v>
      </c>
      <c r="W360" s="17">
        <f t="shared" si="152"/>
        <v>0</v>
      </c>
      <c r="Y360">
        <f>(MONTH(E360)=MONTH(Assumptions!$E$6))*(YEAR(Assumptions!$E$6)=YEAR('Rent v Mortgage'!E360))</f>
        <v>0</v>
      </c>
      <c r="Z360">
        <f>--(SUM($Y$28:Y359)&lt;1)*AA360</f>
        <v>0</v>
      </c>
      <c r="AA360">
        <f t="shared" si="153"/>
        <v>1</v>
      </c>
      <c r="AB360" s="20"/>
      <c r="AC360">
        <f t="shared" si="154"/>
        <v>332</v>
      </c>
      <c r="AD360">
        <f t="shared" si="155"/>
        <v>2053</v>
      </c>
      <c r="AE360" s="12">
        <f t="shared" si="156"/>
        <v>55944</v>
      </c>
      <c r="AG360" s="19">
        <f t="shared" si="157"/>
        <v>0</v>
      </c>
      <c r="AH360" s="19">
        <f t="shared" si="158"/>
        <v>0</v>
      </c>
      <c r="AI360" s="19">
        <f t="shared" si="159"/>
        <v>0</v>
      </c>
      <c r="AK360" s="19">
        <f t="shared" si="160"/>
        <v>0</v>
      </c>
      <c r="AL360" s="19">
        <f ca="1">(IF(MOD(AC360,($AE$15*12)),0,$AG360-IFERROR(SUM(OFFSET(AL359,,,-$AE$15*12)),0))-SUM($AL$28:AL359)*(Z361=0))*(Z360=1)</f>
        <v>0</v>
      </c>
      <c r="AM360" s="19">
        <f t="shared" si="161"/>
        <v>0</v>
      </c>
      <c r="AN360" s="19">
        <f t="shared" si="162"/>
        <v>0</v>
      </c>
      <c r="AP360" s="19">
        <f t="shared" ca="1" si="136"/>
        <v>0</v>
      </c>
      <c r="AQ360" s="18">
        <f t="shared" si="137"/>
        <v>0.30920337972958262</v>
      </c>
    </row>
    <row r="361" spans="3:43" x14ac:dyDescent="0.25">
      <c r="C361">
        <f t="shared" si="138"/>
        <v>333</v>
      </c>
      <c r="D361">
        <f t="shared" si="139"/>
        <v>27</v>
      </c>
      <c r="E361" s="12">
        <f t="shared" si="140"/>
        <v>55975</v>
      </c>
      <c r="F361" s="12"/>
      <c r="G361" s="15">
        <f t="shared" si="141"/>
        <v>0</v>
      </c>
      <c r="H361" s="15">
        <f t="shared" si="142"/>
        <v>0</v>
      </c>
      <c r="I361" s="15"/>
      <c r="J361" s="16">
        <f t="shared" si="143"/>
        <v>0</v>
      </c>
      <c r="K361" s="16">
        <f t="shared" si="144"/>
        <v>0</v>
      </c>
      <c r="L361">
        <f t="shared" si="145"/>
        <v>0</v>
      </c>
      <c r="M361">
        <f t="shared" si="146"/>
        <v>0</v>
      </c>
      <c r="N361" s="16">
        <f t="shared" si="147"/>
        <v>0</v>
      </c>
      <c r="O361" s="16"/>
      <c r="P361" s="17">
        <f t="shared" si="148"/>
        <v>0</v>
      </c>
      <c r="Q361">
        <f>Q360/(1+Assumptions!$E$8/12)</f>
        <v>0.30811214920116181</v>
      </c>
      <c r="S361" s="17">
        <f t="shared" si="149"/>
        <v>0</v>
      </c>
      <c r="T361" s="17">
        <f>T360*(1+$K$24)*Z361</f>
        <v>0</v>
      </c>
      <c r="U361" s="17">
        <f t="shared" si="150"/>
        <v>0</v>
      </c>
      <c r="V361" s="17">
        <f t="shared" si="151"/>
        <v>0</v>
      </c>
      <c r="W361" s="17">
        <f t="shared" si="152"/>
        <v>0</v>
      </c>
      <c r="Y361">
        <f>(MONTH(E361)=MONTH(Assumptions!$E$6))*(YEAR(Assumptions!$E$6)=YEAR('Rent v Mortgage'!E361))</f>
        <v>0</v>
      </c>
      <c r="Z361">
        <f>--(SUM($Y$28:Y360)&lt;1)*AA361</f>
        <v>0</v>
      </c>
      <c r="AA361">
        <f t="shared" si="153"/>
        <v>1</v>
      </c>
      <c r="AB361" s="20"/>
      <c r="AC361">
        <f t="shared" si="154"/>
        <v>333</v>
      </c>
      <c r="AD361">
        <f t="shared" si="155"/>
        <v>2053</v>
      </c>
      <c r="AE361" s="12">
        <f t="shared" si="156"/>
        <v>55975</v>
      </c>
      <c r="AG361" s="19">
        <f t="shared" si="157"/>
        <v>0</v>
      </c>
      <c r="AH361" s="19">
        <f t="shared" si="158"/>
        <v>0</v>
      </c>
      <c r="AI361" s="19">
        <f t="shared" si="159"/>
        <v>0</v>
      </c>
      <c r="AK361" s="19">
        <f t="shared" si="160"/>
        <v>0</v>
      </c>
      <c r="AL361" s="19">
        <f ca="1">(IF(MOD(AC361,($AE$15*12)),0,$AG361-IFERROR(SUM(OFFSET(AL360,,,-$AE$15*12)),0))-SUM($AL$28:AL360)*(Z362=0))*(Z361=1)</f>
        <v>0</v>
      </c>
      <c r="AM361" s="19">
        <f t="shared" si="161"/>
        <v>0</v>
      </c>
      <c r="AN361" s="19">
        <f t="shared" si="162"/>
        <v>0</v>
      </c>
      <c r="AP361" s="19">
        <f t="shared" ca="1" si="136"/>
        <v>0</v>
      </c>
      <c r="AQ361" s="18">
        <f t="shared" si="137"/>
        <v>0.30811214920116181</v>
      </c>
    </row>
    <row r="362" spans="3:43" x14ac:dyDescent="0.25">
      <c r="C362">
        <f t="shared" si="138"/>
        <v>334</v>
      </c>
      <c r="D362">
        <f t="shared" si="139"/>
        <v>27</v>
      </c>
      <c r="E362" s="12">
        <f t="shared" si="140"/>
        <v>56005</v>
      </c>
      <c r="F362" s="12"/>
      <c r="G362" s="15">
        <f t="shared" si="141"/>
        <v>0</v>
      </c>
      <c r="H362" s="15">
        <f t="shared" si="142"/>
        <v>0</v>
      </c>
      <c r="I362" s="15"/>
      <c r="J362" s="16">
        <f t="shared" si="143"/>
        <v>0</v>
      </c>
      <c r="K362" s="16">
        <f t="shared" si="144"/>
        <v>0</v>
      </c>
      <c r="L362">
        <f t="shared" si="145"/>
        <v>0</v>
      </c>
      <c r="M362">
        <f t="shared" si="146"/>
        <v>0</v>
      </c>
      <c r="N362" s="16">
        <f t="shared" si="147"/>
        <v>0</v>
      </c>
      <c r="O362" s="16"/>
      <c r="P362" s="17">
        <f t="shared" si="148"/>
        <v>0</v>
      </c>
      <c r="Q362">
        <f>Q361/(1+Assumptions!$E$8/12)</f>
        <v>0.30702476980809146</v>
      </c>
      <c r="S362" s="17">
        <f t="shared" si="149"/>
        <v>0</v>
      </c>
      <c r="T362" s="17">
        <f>T361*(1+$K$24)*Z362</f>
        <v>0</v>
      </c>
      <c r="U362" s="17">
        <f t="shared" si="150"/>
        <v>0</v>
      </c>
      <c r="V362" s="17">
        <f t="shared" si="151"/>
        <v>0</v>
      </c>
      <c r="W362" s="17">
        <f t="shared" si="152"/>
        <v>0</v>
      </c>
      <c r="Y362">
        <f>(MONTH(E362)=MONTH(Assumptions!$E$6))*(YEAR(Assumptions!$E$6)=YEAR('Rent v Mortgage'!E362))</f>
        <v>0</v>
      </c>
      <c r="Z362">
        <f>--(SUM($Y$28:Y361)&lt;1)*AA362</f>
        <v>0</v>
      </c>
      <c r="AA362">
        <f t="shared" si="153"/>
        <v>1</v>
      </c>
      <c r="AB362" s="20"/>
      <c r="AC362">
        <f t="shared" si="154"/>
        <v>334</v>
      </c>
      <c r="AD362">
        <f t="shared" si="155"/>
        <v>2053</v>
      </c>
      <c r="AE362" s="12">
        <f t="shared" si="156"/>
        <v>56005</v>
      </c>
      <c r="AG362" s="19">
        <f t="shared" si="157"/>
        <v>0</v>
      </c>
      <c r="AH362" s="19">
        <f t="shared" si="158"/>
        <v>0</v>
      </c>
      <c r="AI362" s="19">
        <f t="shared" si="159"/>
        <v>0</v>
      </c>
      <c r="AK362" s="19">
        <f t="shared" si="160"/>
        <v>0</v>
      </c>
      <c r="AL362" s="19">
        <f ca="1">(IF(MOD(AC362,($AE$15*12)),0,$AG362-IFERROR(SUM(OFFSET(AL361,,,-$AE$15*12)),0))-SUM($AL$28:AL361)*(Z363=0))*(Z362=1)</f>
        <v>0</v>
      </c>
      <c r="AM362" s="19">
        <f t="shared" si="161"/>
        <v>0</v>
      </c>
      <c r="AN362" s="19">
        <f t="shared" si="162"/>
        <v>0</v>
      </c>
      <c r="AP362" s="19">
        <f t="shared" ca="1" si="136"/>
        <v>0</v>
      </c>
      <c r="AQ362" s="18">
        <f t="shared" si="137"/>
        <v>0.30702476980809146</v>
      </c>
    </row>
    <row r="363" spans="3:43" x14ac:dyDescent="0.25">
      <c r="C363">
        <f t="shared" si="138"/>
        <v>335</v>
      </c>
      <c r="D363">
        <f t="shared" si="139"/>
        <v>27</v>
      </c>
      <c r="E363" s="12">
        <f t="shared" si="140"/>
        <v>56036</v>
      </c>
      <c r="F363" s="12"/>
      <c r="G363" s="15">
        <f t="shared" si="141"/>
        <v>0</v>
      </c>
      <c r="H363" s="15">
        <f t="shared" si="142"/>
        <v>0</v>
      </c>
      <c r="I363" s="15"/>
      <c r="J363" s="16">
        <f t="shared" si="143"/>
        <v>0</v>
      </c>
      <c r="K363" s="16">
        <f t="shared" si="144"/>
        <v>0</v>
      </c>
      <c r="L363">
        <f t="shared" si="145"/>
        <v>0</v>
      </c>
      <c r="M363">
        <f t="shared" si="146"/>
        <v>0</v>
      </c>
      <c r="N363" s="16">
        <f t="shared" si="147"/>
        <v>0</v>
      </c>
      <c r="O363" s="16"/>
      <c r="P363" s="17">
        <f t="shared" si="148"/>
        <v>0</v>
      </c>
      <c r="Q363">
        <f>Q362/(1+Assumptions!$E$8/12)</f>
        <v>0.30594122795906969</v>
      </c>
      <c r="S363" s="17">
        <f t="shared" si="149"/>
        <v>0</v>
      </c>
      <c r="T363" s="17">
        <f>T362*(1+$K$24)*Z363</f>
        <v>0</v>
      </c>
      <c r="U363" s="17">
        <f t="shared" si="150"/>
        <v>0</v>
      </c>
      <c r="V363" s="17">
        <f t="shared" si="151"/>
        <v>0</v>
      </c>
      <c r="W363" s="17">
        <f t="shared" si="152"/>
        <v>0</v>
      </c>
      <c r="Y363">
        <f>(MONTH(E363)=MONTH(Assumptions!$E$6))*(YEAR(Assumptions!$E$6)=YEAR('Rent v Mortgage'!E363))</f>
        <v>0</v>
      </c>
      <c r="Z363">
        <f>--(SUM($Y$28:Y362)&lt;1)*AA363</f>
        <v>0</v>
      </c>
      <c r="AA363">
        <f t="shared" si="153"/>
        <v>1</v>
      </c>
      <c r="AB363" s="20"/>
      <c r="AC363">
        <f t="shared" si="154"/>
        <v>335</v>
      </c>
      <c r="AD363">
        <f t="shared" si="155"/>
        <v>2053</v>
      </c>
      <c r="AE363" s="12">
        <f t="shared" si="156"/>
        <v>56036</v>
      </c>
      <c r="AG363" s="19">
        <f t="shared" si="157"/>
        <v>0</v>
      </c>
      <c r="AH363" s="19">
        <f t="shared" si="158"/>
        <v>0</v>
      </c>
      <c r="AI363" s="19">
        <f t="shared" si="159"/>
        <v>0</v>
      </c>
      <c r="AK363" s="19">
        <f t="shared" si="160"/>
        <v>0</v>
      </c>
      <c r="AL363" s="19">
        <f ca="1">(IF(MOD(AC363,($AE$15*12)),0,$AG363-IFERROR(SUM(OFFSET(AL362,,,-$AE$15*12)),0))-SUM($AL$28:AL362)*(Z364=0))*(Z363=1)</f>
        <v>0</v>
      </c>
      <c r="AM363" s="19">
        <f t="shared" si="161"/>
        <v>0</v>
      </c>
      <c r="AN363" s="19">
        <f t="shared" si="162"/>
        <v>0</v>
      </c>
      <c r="AP363" s="19">
        <f t="shared" ca="1" si="136"/>
        <v>0</v>
      </c>
      <c r="AQ363" s="18">
        <f t="shared" si="137"/>
        <v>0.30594122795906969</v>
      </c>
    </row>
    <row r="364" spans="3:43" x14ac:dyDescent="0.25">
      <c r="C364">
        <f t="shared" si="138"/>
        <v>336</v>
      </c>
      <c r="D364">
        <f t="shared" si="139"/>
        <v>28</v>
      </c>
      <c r="E364" s="12">
        <f t="shared" si="140"/>
        <v>56066</v>
      </c>
      <c r="F364" s="12"/>
      <c r="G364" s="15">
        <f t="shared" si="141"/>
        <v>0</v>
      </c>
      <c r="H364" s="15">
        <f t="shared" si="142"/>
        <v>0</v>
      </c>
      <c r="I364" s="15"/>
      <c r="J364" s="16">
        <f t="shared" si="143"/>
        <v>0</v>
      </c>
      <c r="K364" s="16">
        <f t="shared" si="144"/>
        <v>0</v>
      </c>
      <c r="L364">
        <f t="shared" si="145"/>
        <v>0</v>
      </c>
      <c r="M364">
        <f t="shared" si="146"/>
        <v>0</v>
      </c>
      <c r="N364" s="16">
        <f t="shared" si="147"/>
        <v>0</v>
      </c>
      <c r="O364" s="16"/>
      <c r="P364" s="17">
        <f t="shared" si="148"/>
        <v>0</v>
      </c>
      <c r="Q364">
        <f>Q363/(1+Assumptions!$E$8/12)</f>
        <v>0.30486151011076074</v>
      </c>
      <c r="S364" s="17">
        <f t="shared" si="149"/>
        <v>0</v>
      </c>
      <c r="T364" s="17">
        <f>T363*(1+$K$24)*Z364</f>
        <v>0</v>
      </c>
      <c r="U364" s="17">
        <f t="shared" si="150"/>
        <v>0</v>
      </c>
      <c r="V364" s="17">
        <f t="shared" si="151"/>
        <v>0</v>
      </c>
      <c r="W364" s="17">
        <f t="shared" si="152"/>
        <v>0</v>
      </c>
      <c r="Y364">
        <f>(MONTH(E364)=MONTH(Assumptions!$E$6))*(YEAR(Assumptions!$E$6)=YEAR('Rent v Mortgage'!E364))</f>
        <v>0</v>
      </c>
      <c r="Z364">
        <f>--(SUM($Y$28:Y363)&lt;1)*AA364</f>
        <v>0</v>
      </c>
      <c r="AA364">
        <f t="shared" si="153"/>
        <v>1</v>
      </c>
      <c r="AB364" s="20"/>
      <c r="AC364">
        <f t="shared" si="154"/>
        <v>336</v>
      </c>
      <c r="AD364">
        <f t="shared" si="155"/>
        <v>2053</v>
      </c>
      <c r="AE364" s="12">
        <f t="shared" si="156"/>
        <v>56066</v>
      </c>
      <c r="AG364" s="19">
        <f t="shared" si="157"/>
        <v>0</v>
      </c>
      <c r="AH364" s="19">
        <f t="shared" si="158"/>
        <v>0</v>
      </c>
      <c r="AI364" s="19">
        <f t="shared" si="159"/>
        <v>0</v>
      </c>
      <c r="AK364" s="19">
        <f t="shared" si="160"/>
        <v>0</v>
      </c>
      <c r="AL364" s="19">
        <f ca="1">(IF(MOD(AC364,($AE$15*12)),0,$AG364-IFERROR(SUM(OFFSET(AL363,,,-$AE$15*12)),0))-SUM($AL$28:AL363)*(Z365=0))*(Z364=1)</f>
        <v>0</v>
      </c>
      <c r="AM364" s="19">
        <f t="shared" si="161"/>
        <v>0</v>
      </c>
      <c r="AN364" s="19">
        <f t="shared" si="162"/>
        <v>0</v>
      </c>
      <c r="AP364" s="19">
        <f t="shared" ca="1" si="136"/>
        <v>0</v>
      </c>
      <c r="AQ364" s="18">
        <f t="shared" si="137"/>
        <v>0.30486151011076074</v>
      </c>
    </row>
    <row r="365" spans="3:43" x14ac:dyDescent="0.25">
      <c r="C365">
        <f t="shared" si="138"/>
        <v>337</v>
      </c>
      <c r="D365">
        <f t="shared" si="139"/>
        <v>28</v>
      </c>
      <c r="E365" s="12">
        <f t="shared" si="140"/>
        <v>56097</v>
      </c>
      <c r="F365" s="12"/>
      <c r="G365" s="15">
        <f t="shared" si="141"/>
        <v>0</v>
      </c>
      <c r="H365" s="15">
        <f t="shared" si="142"/>
        <v>0</v>
      </c>
      <c r="I365" s="15"/>
      <c r="J365" s="16">
        <f t="shared" si="143"/>
        <v>0</v>
      </c>
      <c r="K365" s="16">
        <f t="shared" si="144"/>
        <v>0</v>
      </c>
      <c r="L365">
        <f t="shared" si="145"/>
        <v>0</v>
      </c>
      <c r="M365">
        <f t="shared" si="146"/>
        <v>0</v>
      </c>
      <c r="N365" s="16">
        <f t="shared" si="147"/>
        <v>0</v>
      </c>
      <c r="O365" s="16"/>
      <c r="P365" s="17">
        <f t="shared" si="148"/>
        <v>0</v>
      </c>
      <c r="Q365">
        <f>Q364/(1+Assumptions!$E$8/12)</f>
        <v>0.30378560276762534</v>
      </c>
      <c r="S365" s="17">
        <f t="shared" si="149"/>
        <v>0</v>
      </c>
      <c r="T365" s="17">
        <f>T364*(1+$K$24)*Z365</f>
        <v>0</v>
      </c>
      <c r="U365" s="17">
        <f t="shared" si="150"/>
        <v>0</v>
      </c>
      <c r="V365" s="17">
        <f t="shared" si="151"/>
        <v>0</v>
      </c>
      <c r="W365" s="17">
        <f t="shared" si="152"/>
        <v>0</v>
      </c>
      <c r="Y365">
        <f>(MONTH(E365)=MONTH(Assumptions!$E$6))*(YEAR(Assumptions!$E$6)=YEAR('Rent v Mortgage'!E365))</f>
        <v>0</v>
      </c>
      <c r="Z365">
        <f>--(SUM($Y$28:Y364)&lt;1)*AA365</f>
        <v>0</v>
      </c>
      <c r="AA365">
        <f t="shared" si="153"/>
        <v>1</v>
      </c>
      <c r="AB365" s="20"/>
      <c r="AC365">
        <f t="shared" si="154"/>
        <v>337</v>
      </c>
      <c r="AD365">
        <f t="shared" si="155"/>
        <v>2053</v>
      </c>
      <c r="AE365" s="12">
        <f t="shared" si="156"/>
        <v>56097</v>
      </c>
      <c r="AG365" s="19">
        <f t="shared" si="157"/>
        <v>0</v>
      </c>
      <c r="AH365" s="19">
        <f t="shared" si="158"/>
        <v>0</v>
      </c>
      <c r="AI365" s="19">
        <f t="shared" si="159"/>
        <v>0</v>
      </c>
      <c r="AK365" s="19">
        <f t="shared" si="160"/>
        <v>0</v>
      </c>
      <c r="AL365" s="19">
        <f ca="1">(IF(MOD(AC365,($AE$15*12)),0,$AG365-IFERROR(SUM(OFFSET(AL364,,,-$AE$15*12)),0))-SUM($AL$28:AL364)*(Z366=0))*(Z365=1)</f>
        <v>0</v>
      </c>
      <c r="AM365" s="19">
        <f t="shared" si="161"/>
        <v>0</v>
      </c>
      <c r="AN365" s="19">
        <f t="shared" si="162"/>
        <v>0</v>
      </c>
      <c r="AP365" s="19">
        <f t="shared" ca="1" si="136"/>
        <v>0</v>
      </c>
      <c r="AQ365" s="18">
        <f t="shared" si="137"/>
        <v>0.30378560276762534</v>
      </c>
    </row>
    <row r="366" spans="3:43" x14ac:dyDescent="0.25">
      <c r="C366">
        <f t="shared" si="138"/>
        <v>338</v>
      </c>
      <c r="D366">
        <f t="shared" si="139"/>
        <v>28</v>
      </c>
      <c r="E366" s="12">
        <f t="shared" si="140"/>
        <v>56128</v>
      </c>
      <c r="F366" s="12"/>
      <c r="G366" s="15">
        <f t="shared" si="141"/>
        <v>0</v>
      </c>
      <c r="H366" s="15">
        <f t="shared" si="142"/>
        <v>0</v>
      </c>
      <c r="I366" s="15"/>
      <c r="J366" s="16">
        <f t="shared" si="143"/>
        <v>0</v>
      </c>
      <c r="K366" s="16">
        <f t="shared" si="144"/>
        <v>0</v>
      </c>
      <c r="L366">
        <f t="shared" si="145"/>
        <v>0</v>
      </c>
      <c r="M366">
        <f t="shared" si="146"/>
        <v>0</v>
      </c>
      <c r="N366" s="16">
        <f t="shared" si="147"/>
        <v>0</v>
      </c>
      <c r="O366" s="16"/>
      <c r="P366" s="17">
        <f t="shared" si="148"/>
        <v>0</v>
      </c>
      <c r="Q366">
        <f>Q365/(1+Assumptions!$E$8/12)</f>
        <v>0.30271349248175244</v>
      </c>
      <c r="S366" s="17">
        <f t="shared" si="149"/>
        <v>0</v>
      </c>
      <c r="T366" s="17">
        <f>T365*(1+$K$24)*Z366</f>
        <v>0</v>
      </c>
      <c r="U366" s="17">
        <f t="shared" si="150"/>
        <v>0</v>
      </c>
      <c r="V366" s="17">
        <f t="shared" si="151"/>
        <v>0</v>
      </c>
      <c r="W366" s="17">
        <f t="shared" si="152"/>
        <v>0</v>
      </c>
      <c r="Y366">
        <f>(MONTH(E366)=MONTH(Assumptions!$E$6))*(YEAR(Assumptions!$E$6)=YEAR('Rent v Mortgage'!E366))</f>
        <v>0</v>
      </c>
      <c r="Z366">
        <f>--(SUM($Y$28:Y365)&lt;1)*AA366</f>
        <v>0</v>
      </c>
      <c r="AA366">
        <f t="shared" si="153"/>
        <v>1</v>
      </c>
      <c r="AB366" s="20"/>
      <c r="AC366">
        <f t="shared" si="154"/>
        <v>338</v>
      </c>
      <c r="AD366">
        <f t="shared" si="155"/>
        <v>2053</v>
      </c>
      <c r="AE366" s="12">
        <f t="shared" si="156"/>
        <v>56128</v>
      </c>
      <c r="AG366" s="19">
        <f t="shared" si="157"/>
        <v>0</v>
      </c>
      <c r="AH366" s="19">
        <f t="shared" si="158"/>
        <v>0</v>
      </c>
      <c r="AI366" s="19">
        <f t="shared" si="159"/>
        <v>0</v>
      </c>
      <c r="AK366" s="19">
        <f t="shared" si="160"/>
        <v>0</v>
      </c>
      <c r="AL366" s="19">
        <f ca="1">(IF(MOD(AC366,($AE$15*12)),0,$AG366-IFERROR(SUM(OFFSET(AL365,,,-$AE$15*12)),0))-SUM($AL$28:AL365)*(Z367=0))*(Z366=1)</f>
        <v>0</v>
      </c>
      <c r="AM366" s="19">
        <f t="shared" si="161"/>
        <v>0</v>
      </c>
      <c r="AN366" s="19">
        <f t="shared" si="162"/>
        <v>0</v>
      </c>
      <c r="AP366" s="19">
        <f t="shared" ca="1" si="136"/>
        <v>0</v>
      </c>
      <c r="AQ366" s="18">
        <f t="shared" si="137"/>
        <v>0.30271349248175244</v>
      </c>
    </row>
    <row r="367" spans="3:43" x14ac:dyDescent="0.25">
      <c r="C367">
        <f t="shared" si="138"/>
        <v>339</v>
      </c>
      <c r="D367">
        <f t="shared" si="139"/>
        <v>28</v>
      </c>
      <c r="E367" s="12">
        <f t="shared" si="140"/>
        <v>56158</v>
      </c>
      <c r="F367" s="12"/>
      <c r="G367" s="15">
        <f t="shared" si="141"/>
        <v>0</v>
      </c>
      <c r="H367" s="15">
        <f t="shared" si="142"/>
        <v>0</v>
      </c>
      <c r="I367" s="15"/>
      <c r="J367" s="16">
        <f t="shared" si="143"/>
        <v>0</v>
      </c>
      <c r="K367" s="16">
        <f t="shared" si="144"/>
        <v>0</v>
      </c>
      <c r="L367">
        <f t="shared" si="145"/>
        <v>0</v>
      </c>
      <c r="M367">
        <f t="shared" si="146"/>
        <v>0</v>
      </c>
      <c r="N367" s="16">
        <f t="shared" si="147"/>
        <v>0</v>
      </c>
      <c r="O367" s="16"/>
      <c r="P367" s="17">
        <f t="shared" si="148"/>
        <v>0</v>
      </c>
      <c r="Q367">
        <f>Q366/(1+Assumptions!$E$8/12)</f>
        <v>0.3016451658526908</v>
      </c>
      <c r="S367" s="17">
        <f t="shared" si="149"/>
        <v>0</v>
      </c>
      <c r="T367" s="17">
        <f>T366*(1+$K$24)*Z367</f>
        <v>0</v>
      </c>
      <c r="U367" s="17">
        <f t="shared" si="150"/>
        <v>0</v>
      </c>
      <c r="V367" s="17">
        <f t="shared" si="151"/>
        <v>0</v>
      </c>
      <c r="W367" s="17">
        <f t="shared" si="152"/>
        <v>0</v>
      </c>
      <c r="Y367">
        <f>(MONTH(E367)=MONTH(Assumptions!$E$6))*(YEAR(Assumptions!$E$6)=YEAR('Rent v Mortgage'!E367))</f>
        <v>0</v>
      </c>
      <c r="Z367">
        <f>--(SUM($Y$28:Y366)&lt;1)*AA367</f>
        <v>0</v>
      </c>
      <c r="AA367">
        <f t="shared" si="153"/>
        <v>1</v>
      </c>
      <c r="AB367" s="20"/>
      <c r="AC367">
        <f t="shared" si="154"/>
        <v>339</v>
      </c>
      <c r="AD367">
        <f t="shared" si="155"/>
        <v>2053</v>
      </c>
      <c r="AE367" s="12">
        <f t="shared" si="156"/>
        <v>56158</v>
      </c>
      <c r="AG367" s="19">
        <f t="shared" si="157"/>
        <v>0</v>
      </c>
      <c r="AH367" s="19">
        <f t="shared" si="158"/>
        <v>0</v>
      </c>
      <c r="AI367" s="19">
        <f t="shared" si="159"/>
        <v>0</v>
      </c>
      <c r="AK367" s="19">
        <f t="shared" si="160"/>
        <v>0</v>
      </c>
      <c r="AL367" s="19">
        <f ca="1">(IF(MOD(AC367,($AE$15*12)),0,$AG367-IFERROR(SUM(OFFSET(AL366,,,-$AE$15*12)),0))-SUM($AL$28:AL366)*(Z368=0))*(Z367=1)</f>
        <v>0</v>
      </c>
      <c r="AM367" s="19">
        <f t="shared" si="161"/>
        <v>0</v>
      </c>
      <c r="AN367" s="19">
        <f t="shared" si="162"/>
        <v>0</v>
      </c>
      <c r="AP367" s="19">
        <f t="shared" ca="1" si="136"/>
        <v>0</v>
      </c>
      <c r="AQ367" s="18">
        <f t="shared" si="137"/>
        <v>0.3016451658526908</v>
      </c>
    </row>
    <row r="368" spans="3:43" x14ac:dyDescent="0.25">
      <c r="C368">
        <f t="shared" si="138"/>
        <v>340</v>
      </c>
      <c r="D368">
        <f t="shared" si="139"/>
        <v>28</v>
      </c>
      <c r="E368" s="12">
        <f t="shared" si="140"/>
        <v>56189</v>
      </c>
      <c r="F368" s="12"/>
      <c r="G368" s="15">
        <f t="shared" si="141"/>
        <v>0</v>
      </c>
      <c r="H368" s="15">
        <f t="shared" si="142"/>
        <v>0</v>
      </c>
      <c r="I368" s="15"/>
      <c r="J368" s="16">
        <f t="shared" si="143"/>
        <v>0</v>
      </c>
      <c r="K368" s="16">
        <f t="shared" si="144"/>
        <v>0</v>
      </c>
      <c r="L368">
        <f t="shared" si="145"/>
        <v>0</v>
      </c>
      <c r="M368">
        <f t="shared" si="146"/>
        <v>0</v>
      </c>
      <c r="N368" s="16">
        <f t="shared" si="147"/>
        <v>0</v>
      </c>
      <c r="O368" s="16"/>
      <c r="P368" s="17">
        <f t="shared" si="148"/>
        <v>0</v>
      </c>
      <c r="Q368">
        <f>Q367/(1+Assumptions!$E$8/12)</f>
        <v>0.30058060952728166</v>
      </c>
      <c r="S368" s="17">
        <f t="shared" si="149"/>
        <v>0</v>
      </c>
      <c r="T368" s="17">
        <f>T367*(1+$K$24)*Z368</f>
        <v>0</v>
      </c>
      <c r="U368" s="17">
        <f t="shared" si="150"/>
        <v>0</v>
      </c>
      <c r="V368" s="17">
        <f t="shared" si="151"/>
        <v>0</v>
      </c>
      <c r="W368" s="17">
        <f t="shared" si="152"/>
        <v>0</v>
      </c>
      <c r="Y368">
        <f>(MONTH(E368)=MONTH(Assumptions!$E$6))*(YEAR(Assumptions!$E$6)=YEAR('Rent v Mortgage'!E368))</f>
        <v>0</v>
      </c>
      <c r="Z368">
        <f>--(SUM($Y$28:Y367)&lt;1)*AA368</f>
        <v>0</v>
      </c>
      <c r="AA368">
        <f t="shared" si="153"/>
        <v>1</v>
      </c>
      <c r="AB368" s="20"/>
      <c r="AC368">
        <f t="shared" si="154"/>
        <v>340</v>
      </c>
      <c r="AD368">
        <f t="shared" si="155"/>
        <v>2053</v>
      </c>
      <c r="AE368" s="12">
        <f t="shared" si="156"/>
        <v>56189</v>
      </c>
      <c r="AG368" s="19">
        <f t="shared" si="157"/>
        <v>0</v>
      </c>
      <c r="AH368" s="19">
        <f t="shared" si="158"/>
        <v>0</v>
      </c>
      <c r="AI368" s="19">
        <f t="shared" si="159"/>
        <v>0</v>
      </c>
      <c r="AK368" s="19">
        <f t="shared" si="160"/>
        <v>0</v>
      </c>
      <c r="AL368" s="19">
        <f ca="1">(IF(MOD(AC368,($AE$15*12)),0,$AG368-IFERROR(SUM(OFFSET(AL367,,,-$AE$15*12)),0))-SUM($AL$28:AL367)*(Z369=0))*(Z368=1)</f>
        <v>0</v>
      </c>
      <c r="AM368" s="19">
        <f t="shared" si="161"/>
        <v>0</v>
      </c>
      <c r="AN368" s="19">
        <f t="shared" si="162"/>
        <v>0</v>
      </c>
      <c r="AP368" s="19">
        <f t="shared" ca="1" si="136"/>
        <v>0</v>
      </c>
      <c r="AQ368" s="18">
        <f t="shared" si="137"/>
        <v>0.30058060952728166</v>
      </c>
    </row>
    <row r="369" spans="3:43" x14ac:dyDescent="0.25">
      <c r="C369">
        <f t="shared" si="138"/>
        <v>341</v>
      </c>
      <c r="D369">
        <f t="shared" si="139"/>
        <v>28</v>
      </c>
      <c r="E369" s="12">
        <f t="shared" si="140"/>
        <v>56219</v>
      </c>
      <c r="F369" s="12"/>
      <c r="G369" s="15">
        <f t="shared" si="141"/>
        <v>0</v>
      </c>
      <c r="H369" s="15">
        <f t="shared" si="142"/>
        <v>0</v>
      </c>
      <c r="I369" s="15"/>
      <c r="J369" s="16">
        <f t="shared" si="143"/>
        <v>0</v>
      </c>
      <c r="K369" s="16">
        <f t="shared" si="144"/>
        <v>0</v>
      </c>
      <c r="L369">
        <f t="shared" si="145"/>
        <v>0</v>
      </c>
      <c r="M369">
        <f t="shared" si="146"/>
        <v>0</v>
      </c>
      <c r="N369" s="16">
        <f t="shared" si="147"/>
        <v>0</v>
      </c>
      <c r="O369" s="16"/>
      <c r="P369" s="17">
        <f t="shared" si="148"/>
        <v>0</v>
      </c>
      <c r="Q369">
        <f>Q368/(1+Assumptions!$E$8/12)</f>
        <v>0.29951981019949175</v>
      </c>
      <c r="S369" s="17">
        <f t="shared" si="149"/>
        <v>0</v>
      </c>
      <c r="T369" s="17">
        <f>T368*(1+$K$24)*Z369</f>
        <v>0</v>
      </c>
      <c r="U369" s="17">
        <f t="shared" si="150"/>
        <v>0</v>
      </c>
      <c r="V369" s="17">
        <f t="shared" si="151"/>
        <v>0</v>
      </c>
      <c r="W369" s="17">
        <f t="shared" si="152"/>
        <v>0</v>
      </c>
      <c r="Y369">
        <f>(MONTH(E369)=MONTH(Assumptions!$E$6))*(YEAR(Assumptions!$E$6)=YEAR('Rent v Mortgage'!E369))</f>
        <v>0</v>
      </c>
      <c r="Z369">
        <f>--(SUM($Y$28:Y368)&lt;1)*AA369</f>
        <v>0</v>
      </c>
      <c r="AA369">
        <f t="shared" si="153"/>
        <v>1</v>
      </c>
      <c r="AB369" s="20"/>
      <c r="AC369">
        <f t="shared" si="154"/>
        <v>341</v>
      </c>
      <c r="AD369">
        <f t="shared" si="155"/>
        <v>2053</v>
      </c>
      <c r="AE369" s="12">
        <f t="shared" si="156"/>
        <v>56219</v>
      </c>
      <c r="AG369" s="19">
        <f t="shared" si="157"/>
        <v>0</v>
      </c>
      <c r="AH369" s="19">
        <f t="shared" si="158"/>
        <v>0</v>
      </c>
      <c r="AI369" s="19">
        <f t="shared" si="159"/>
        <v>0</v>
      </c>
      <c r="AK369" s="19">
        <f t="shared" si="160"/>
        <v>0</v>
      </c>
      <c r="AL369" s="19">
        <f ca="1">(IF(MOD(AC369,($AE$15*12)),0,$AG369-IFERROR(SUM(OFFSET(AL368,,,-$AE$15*12)),0))-SUM($AL$28:AL368)*(Z370=0))*(Z369=1)</f>
        <v>0</v>
      </c>
      <c r="AM369" s="19">
        <f t="shared" si="161"/>
        <v>0</v>
      </c>
      <c r="AN369" s="19">
        <f t="shared" si="162"/>
        <v>0</v>
      </c>
      <c r="AP369" s="19">
        <f t="shared" ca="1" si="136"/>
        <v>0</v>
      </c>
      <c r="AQ369" s="18">
        <f t="shared" si="137"/>
        <v>0.29951981019949175</v>
      </c>
    </row>
    <row r="370" spans="3:43" x14ac:dyDescent="0.25">
      <c r="C370">
        <f t="shared" si="138"/>
        <v>342</v>
      </c>
      <c r="D370">
        <f t="shared" si="139"/>
        <v>28</v>
      </c>
      <c r="E370" s="12">
        <f t="shared" si="140"/>
        <v>56250</v>
      </c>
      <c r="F370" s="12"/>
      <c r="G370" s="15">
        <f t="shared" si="141"/>
        <v>0</v>
      </c>
      <c r="H370" s="15">
        <f t="shared" si="142"/>
        <v>0</v>
      </c>
      <c r="I370" s="15"/>
      <c r="J370" s="16">
        <f t="shared" si="143"/>
        <v>0</v>
      </c>
      <c r="K370" s="16">
        <f t="shared" si="144"/>
        <v>0</v>
      </c>
      <c r="L370">
        <f t="shared" si="145"/>
        <v>0</v>
      </c>
      <c r="M370">
        <f t="shared" si="146"/>
        <v>0</v>
      </c>
      <c r="N370" s="16">
        <f t="shared" si="147"/>
        <v>0</v>
      </c>
      <c r="O370" s="16"/>
      <c r="P370" s="17">
        <f t="shared" si="148"/>
        <v>0</v>
      </c>
      <c r="Q370">
        <f>Q369/(1+Assumptions!$E$8/12)</f>
        <v>0.29846275461024707</v>
      </c>
      <c r="S370" s="17">
        <f t="shared" si="149"/>
        <v>0</v>
      </c>
      <c r="T370" s="17">
        <f>T369*(1+$K$24)*Z370</f>
        <v>0</v>
      </c>
      <c r="U370" s="17">
        <f t="shared" si="150"/>
        <v>0</v>
      </c>
      <c r="V370" s="17">
        <f t="shared" si="151"/>
        <v>0</v>
      </c>
      <c r="W370" s="17">
        <f t="shared" si="152"/>
        <v>0</v>
      </c>
      <c r="Y370">
        <f>(MONTH(E370)=MONTH(Assumptions!$E$6))*(YEAR(Assumptions!$E$6)=YEAR('Rent v Mortgage'!E370))</f>
        <v>0</v>
      </c>
      <c r="Z370">
        <f>--(SUM($Y$28:Y369)&lt;1)*AA370</f>
        <v>0</v>
      </c>
      <c r="AA370">
        <f t="shared" si="153"/>
        <v>1</v>
      </c>
      <c r="AB370" s="20"/>
      <c r="AC370">
        <f t="shared" si="154"/>
        <v>342</v>
      </c>
      <c r="AD370">
        <f t="shared" si="155"/>
        <v>2054</v>
      </c>
      <c r="AE370" s="12">
        <f t="shared" si="156"/>
        <v>56250</v>
      </c>
      <c r="AG370" s="19">
        <f t="shared" si="157"/>
        <v>0</v>
      </c>
      <c r="AH370" s="19">
        <f t="shared" si="158"/>
        <v>0</v>
      </c>
      <c r="AI370" s="19">
        <f t="shared" si="159"/>
        <v>0</v>
      </c>
      <c r="AK370" s="19">
        <f t="shared" si="160"/>
        <v>0</v>
      </c>
      <c r="AL370" s="19">
        <f ca="1">(IF(MOD(AC370,($AE$15*12)),0,$AG370-IFERROR(SUM(OFFSET(AL369,,,-$AE$15*12)),0))-SUM($AL$28:AL369)*(Z371=0))*(Z370=1)</f>
        <v>0</v>
      </c>
      <c r="AM370" s="19">
        <f t="shared" si="161"/>
        <v>0</v>
      </c>
      <c r="AN370" s="19">
        <f t="shared" si="162"/>
        <v>0</v>
      </c>
      <c r="AP370" s="19">
        <f t="shared" ca="1" si="136"/>
        <v>0</v>
      </c>
      <c r="AQ370" s="18">
        <f t="shared" si="137"/>
        <v>0.29846275461024707</v>
      </c>
    </row>
    <row r="371" spans="3:43" x14ac:dyDescent="0.25">
      <c r="C371">
        <f t="shared" si="138"/>
        <v>343</v>
      </c>
      <c r="D371">
        <f t="shared" si="139"/>
        <v>28</v>
      </c>
      <c r="E371" s="12">
        <f t="shared" si="140"/>
        <v>56281</v>
      </c>
      <c r="F371" s="12"/>
      <c r="G371" s="15">
        <f t="shared" si="141"/>
        <v>0</v>
      </c>
      <c r="H371" s="15">
        <f t="shared" si="142"/>
        <v>0</v>
      </c>
      <c r="I371" s="15"/>
      <c r="J371" s="16">
        <f t="shared" si="143"/>
        <v>0</v>
      </c>
      <c r="K371" s="16">
        <f t="shared" si="144"/>
        <v>0</v>
      </c>
      <c r="L371">
        <f t="shared" si="145"/>
        <v>0</v>
      </c>
      <c r="M371">
        <f t="shared" si="146"/>
        <v>0</v>
      </c>
      <c r="N371" s="16">
        <f t="shared" si="147"/>
        <v>0</v>
      </c>
      <c r="O371" s="16"/>
      <c r="P371" s="17">
        <f t="shared" si="148"/>
        <v>0</v>
      </c>
      <c r="Q371">
        <f>Q370/(1+Assumptions!$E$8/12)</f>
        <v>0.29740942954726712</v>
      </c>
      <c r="S371" s="17">
        <f t="shared" si="149"/>
        <v>0</v>
      </c>
      <c r="T371" s="17">
        <f>T370*(1+$K$24)*Z371</f>
        <v>0</v>
      </c>
      <c r="U371" s="17">
        <f t="shared" si="150"/>
        <v>0</v>
      </c>
      <c r="V371" s="17">
        <f t="shared" si="151"/>
        <v>0</v>
      </c>
      <c r="W371" s="17">
        <f t="shared" si="152"/>
        <v>0</v>
      </c>
      <c r="Y371">
        <f>(MONTH(E371)=MONTH(Assumptions!$E$6))*(YEAR(Assumptions!$E$6)=YEAR('Rent v Mortgage'!E371))</f>
        <v>0</v>
      </c>
      <c r="Z371">
        <f>--(SUM($Y$28:Y370)&lt;1)*AA371</f>
        <v>0</v>
      </c>
      <c r="AA371">
        <f t="shared" si="153"/>
        <v>1</v>
      </c>
      <c r="AB371" s="20"/>
      <c r="AC371">
        <f t="shared" si="154"/>
        <v>343</v>
      </c>
      <c r="AD371">
        <f t="shared" si="155"/>
        <v>2054</v>
      </c>
      <c r="AE371" s="12">
        <f t="shared" si="156"/>
        <v>56281</v>
      </c>
      <c r="AG371" s="19">
        <f t="shared" si="157"/>
        <v>0</v>
      </c>
      <c r="AH371" s="19">
        <f t="shared" si="158"/>
        <v>0</v>
      </c>
      <c r="AI371" s="19">
        <f t="shared" si="159"/>
        <v>0</v>
      </c>
      <c r="AK371" s="19">
        <f t="shared" si="160"/>
        <v>0</v>
      </c>
      <c r="AL371" s="19">
        <f ca="1">(IF(MOD(AC371,($AE$15*12)),0,$AG371-IFERROR(SUM(OFFSET(AL370,,,-$AE$15*12)),0))-SUM($AL$28:AL370)*(Z372=0))*(Z371=1)</f>
        <v>0</v>
      </c>
      <c r="AM371" s="19">
        <f t="shared" si="161"/>
        <v>0</v>
      </c>
      <c r="AN371" s="19">
        <f t="shared" si="162"/>
        <v>0</v>
      </c>
      <c r="AP371" s="19">
        <f t="shared" ca="1" si="136"/>
        <v>0</v>
      </c>
      <c r="AQ371" s="18">
        <f t="shared" si="137"/>
        <v>0.29740942954726712</v>
      </c>
    </row>
    <row r="372" spans="3:43" x14ac:dyDescent="0.25">
      <c r="C372">
        <f t="shared" si="138"/>
        <v>344</v>
      </c>
      <c r="D372">
        <f t="shared" si="139"/>
        <v>28</v>
      </c>
      <c r="E372" s="12">
        <f t="shared" si="140"/>
        <v>56309</v>
      </c>
      <c r="F372" s="12"/>
      <c r="G372" s="15">
        <f t="shared" si="141"/>
        <v>0</v>
      </c>
      <c r="H372" s="15">
        <f t="shared" si="142"/>
        <v>0</v>
      </c>
      <c r="I372" s="15"/>
      <c r="J372" s="16">
        <f t="shared" si="143"/>
        <v>0</v>
      </c>
      <c r="K372" s="16">
        <f t="shared" si="144"/>
        <v>0</v>
      </c>
      <c r="L372">
        <f t="shared" si="145"/>
        <v>0</v>
      </c>
      <c r="M372">
        <f t="shared" si="146"/>
        <v>0</v>
      </c>
      <c r="N372" s="16">
        <f t="shared" si="147"/>
        <v>0</v>
      </c>
      <c r="O372" s="16"/>
      <c r="P372" s="17">
        <f t="shared" si="148"/>
        <v>0</v>
      </c>
      <c r="Q372">
        <f>Q371/(1+Assumptions!$E$8/12)</f>
        <v>0.29635982184489973</v>
      </c>
      <c r="S372" s="17">
        <f t="shared" si="149"/>
        <v>0</v>
      </c>
      <c r="T372" s="17">
        <f>T371*(1+$K$24)*Z372</f>
        <v>0</v>
      </c>
      <c r="U372" s="17">
        <f t="shared" si="150"/>
        <v>0</v>
      </c>
      <c r="V372" s="17">
        <f t="shared" si="151"/>
        <v>0</v>
      </c>
      <c r="W372" s="17">
        <f t="shared" si="152"/>
        <v>0</v>
      </c>
      <c r="Y372">
        <f>(MONTH(E372)=MONTH(Assumptions!$E$6))*(YEAR(Assumptions!$E$6)=YEAR('Rent v Mortgage'!E372))</f>
        <v>0</v>
      </c>
      <c r="Z372">
        <f>--(SUM($Y$28:Y371)&lt;1)*AA372</f>
        <v>0</v>
      </c>
      <c r="AA372">
        <f t="shared" si="153"/>
        <v>1</v>
      </c>
      <c r="AB372" s="20"/>
      <c r="AC372">
        <f t="shared" si="154"/>
        <v>344</v>
      </c>
      <c r="AD372">
        <f t="shared" si="155"/>
        <v>2054</v>
      </c>
      <c r="AE372" s="12">
        <f t="shared" si="156"/>
        <v>56309</v>
      </c>
      <c r="AG372" s="19">
        <f t="shared" si="157"/>
        <v>0</v>
      </c>
      <c r="AH372" s="19">
        <f t="shared" si="158"/>
        <v>0</v>
      </c>
      <c r="AI372" s="19">
        <f t="shared" si="159"/>
        <v>0</v>
      </c>
      <c r="AK372" s="19">
        <f t="shared" si="160"/>
        <v>0</v>
      </c>
      <c r="AL372" s="19">
        <f ca="1">(IF(MOD(AC372,($AE$15*12)),0,$AG372-IFERROR(SUM(OFFSET(AL371,,,-$AE$15*12)),0))-SUM($AL$28:AL371)*(Z373=0))*(Z372=1)</f>
        <v>0</v>
      </c>
      <c r="AM372" s="19">
        <f t="shared" si="161"/>
        <v>0</v>
      </c>
      <c r="AN372" s="19">
        <f t="shared" si="162"/>
        <v>0</v>
      </c>
      <c r="AP372" s="19">
        <f t="shared" ca="1" si="136"/>
        <v>0</v>
      </c>
      <c r="AQ372" s="18">
        <f t="shared" si="137"/>
        <v>0.29635982184489973</v>
      </c>
    </row>
    <row r="373" spans="3:43" x14ac:dyDescent="0.25">
      <c r="C373">
        <f t="shared" si="138"/>
        <v>345</v>
      </c>
      <c r="D373">
        <f t="shared" si="139"/>
        <v>28</v>
      </c>
      <c r="E373" s="12">
        <f t="shared" si="140"/>
        <v>56340</v>
      </c>
      <c r="F373" s="12"/>
      <c r="G373" s="15">
        <f t="shared" si="141"/>
        <v>0</v>
      </c>
      <c r="H373" s="15">
        <f t="shared" si="142"/>
        <v>0</v>
      </c>
      <c r="I373" s="15"/>
      <c r="J373" s="16">
        <f t="shared" si="143"/>
        <v>0</v>
      </c>
      <c r="K373" s="16">
        <f t="shared" si="144"/>
        <v>0</v>
      </c>
      <c r="L373">
        <f t="shared" si="145"/>
        <v>0</v>
      </c>
      <c r="M373">
        <f t="shared" si="146"/>
        <v>0</v>
      </c>
      <c r="N373" s="16">
        <f t="shared" si="147"/>
        <v>0</v>
      </c>
      <c r="O373" s="16"/>
      <c r="P373" s="17">
        <f t="shared" si="148"/>
        <v>0</v>
      </c>
      <c r="Q373">
        <f>Q372/(1+Assumptions!$E$8/12)</f>
        <v>0.29531391838395654</v>
      </c>
      <c r="S373" s="17">
        <f t="shared" si="149"/>
        <v>0</v>
      </c>
      <c r="T373" s="17">
        <f>T372*(1+$K$24)*Z373</f>
        <v>0</v>
      </c>
      <c r="U373" s="17">
        <f t="shared" si="150"/>
        <v>0</v>
      </c>
      <c r="V373" s="17">
        <f t="shared" si="151"/>
        <v>0</v>
      </c>
      <c r="W373" s="17">
        <f t="shared" si="152"/>
        <v>0</v>
      </c>
      <c r="Y373">
        <f>(MONTH(E373)=MONTH(Assumptions!$E$6))*(YEAR(Assumptions!$E$6)=YEAR('Rent v Mortgage'!E373))</f>
        <v>0</v>
      </c>
      <c r="Z373">
        <f>--(SUM($Y$28:Y372)&lt;1)*AA373</f>
        <v>0</v>
      </c>
      <c r="AA373">
        <f t="shared" si="153"/>
        <v>1</v>
      </c>
      <c r="AB373" s="20"/>
      <c r="AC373">
        <f t="shared" si="154"/>
        <v>345</v>
      </c>
      <c r="AD373">
        <f t="shared" si="155"/>
        <v>2054</v>
      </c>
      <c r="AE373" s="12">
        <f t="shared" si="156"/>
        <v>56340</v>
      </c>
      <c r="AG373" s="19">
        <f t="shared" si="157"/>
        <v>0</v>
      </c>
      <c r="AH373" s="19">
        <f t="shared" si="158"/>
        <v>0</v>
      </c>
      <c r="AI373" s="19">
        <f t="shared" si="159"/>
        <v>0</v>
      </c>
      <c r="AK373" s="19">
        <f t="shared" si="160"/>
        <v>0</v>
      </c>
      <c r="AL373" s="19">
        <f ca="1">(IF(MOD(AC373,($AE$15*12)),0,$AG373-IFERROR(SUM(OFFSET(AL372,,,-$AE$15*12)),0))-SUM($AL$28:AL372)*(Z374=0))*(Z373=1)</f>
        <v>0</v>
      </c>
      <c r="AM373" s="19">
        <f t="shared" si="161"/>
        <v>0</v>
      </c>
      <c r="AN373" s="19">
        <f t="shared" si="162"/>
        <v>0</v>
      </c>
      <c r="AP373" s="19">
        <f t="shared" ca="1" si="136"/>
        <v>0</v>
      </c>
      <c r="AQ373" s="18">
        <f t="shared" si="137"/>
        <v>0.29531391838395654</v>
      </c>
    </row>
    <row r="374" spans="3:43" x14ac:dyDescent="0.25">
      <c r="C374">
        <f t="shared" si="138"/>
        <v>346</v>
      </c>
      <c r="D374">
        <f t="shared" si="139"/>
        <v>28</v>
      </c>
      <c r="E374" s="12">
        <f t="shared" si="140"/>
        <v>56370</v>
      </c>
      <c r="F374" s="12"/>
      <c r="G374" s="15">
        <f t="shared" si="141"/>
        <v>0</v>
      </c>
      <c r="H374" s="15">
        <f t="shared" si="142"/>
        <v>0</v>
      </c>
      <c r="I374" s="15"/>
      <c r="J374" s="16">
        <f t="shared" si="143"/>
        <v>0</v>
      </c>
      <c r="K374" s="16">
        <f t="shared" si="144"/>
        <v>0</v>
      </c>
      <c r="L374">
        <f t="shared" si="145"/>
        <v>0</v>
      </c>
      <c r="M374">
        <f t="shared" si="146"/>
        <v>0</v>
      </c>
      <c r="N374" s="16">
        <f t="shared" si="147"/>
        <v>0</v>
      </c>
      <c r="O374" s="16"/>
      <c r="P374" s="17">
        <f t="shared" si="148"/>
        <v>0</v>
      </c>
      <c r="Q374">
        <f>Q373/(1+Assumptions!$E$8/12)</f>
        <v>0.29427170609154896</v>
      </c>
      <c r="S374" s="17">
        <f t="shared" si="149"/>
        <v>0</v>
      </c>
      <c r="T374" s="17">
        <f>T373*(1+$K$24)*Z374</f>
        <v>0</v>
      </c>
      <c r="U374" s="17">
        <f t="shared" si="150"/>
        <v>0</v>
      </c>
      <c r="V374" s="17">
        <f t="shared" si="151"/>
        <v>0</v>
      </c>
      <c r="W374" s="17">
        <f t="shared" si="152"/>
        <v>0</v>
      </c>
      <c r="Y374">
        <f>(MONTH(E374)=MONTH(Assumptions!$E$6))*(YEAR(Assumptions!$E$6)=YEAR('Rent v Mortgage'!E374))</f>
        <v>0</v>
      </c>
      <c r="Z374">
        <f>--(SUM($Y$28:Y373)&lt;1)*AA374</f>
        <v>0</v>
      </c>
      <c r="AA374">
        <f t="shared" si="153"/>
        <v>1</v>
      </c>
      <c r="AB374" s="20"/>
      <c r="AC374">
        <f t="shared" si="154"/>
        <v>346</v>
      </c>
      <c r="AD374">
        <f t="shared" si="155"/>
        <v>2054</v>
      </c>
      <c r="AE374" s="12">
        <f t="shared" si="156"/>
        <v>56370</v>
      </c>
      <c r="AG374" s="19">
        <f t="shared" si="157"/>
        <v>0</v>
      </c>
      <c r="AH374" s="19">
        <f t="shared" si="158"/>
        <v>0</v>
      </c>
      <c r="AI374" s="19">
        <f t="shared" si="159"/>
        <v>0</v>
      </c>
      <c r="AK374" s="19">
        <f t="shared" si="160"/>
        <v>0</v>
      </c>
      <c r="AL374" s="19">
        <f ca="1">(IF(MOD(AC374,($AE$15*12)),0,$AG374-IFERROR(SUM(OFFSET(AL373,,,-$AE$15*12)),0))-SUM($AL$28:AL373)*(Z375=0))*(Z374=1)</f>
        <v>0</v>
      </c>
      <c r="AM374" s="19">
        <f t="shared" si="161"/>
        <v>0</v>
      </c>
      <c r="AN374" s="19">
        <f t="shared" si="162"/>
        <v>0</v>
      </c>
      <c r="AP374" s="19">
        <f t="shared" ca="1" si="136"/>
        <v>0</v>
      </c>
      <c r="AQ374" s="18">
        <f t="shared" si="137"/>
        <v>0.29427170609154896</v>
      </c>
    </row>
    <row r="375" spans="3:43" x14ac:dyDescent="0.25">
      <c r="C375">
        <f t="shared" si="138"/>
        <v>347</v>
      </c>
      <c r="D375">
        <f t="shared" si="139"/>
        <v>28</v>
      </c>
      <c r="E375" s="12">
        <f t="shared" si="140"/>
        <v>56401</v>
      </c>
      <c r="F375" s="12"/>
      <c r="G375" s="15">
        <f t="shared" si="141"/>
        <v>0</v>
      </c>
      <c r="H375" s="15">
        <f t="shared" si="142"/>
        <v>0</v>
      </c>
      <c r="I375" s="15"/>
      <c r="J375" s="16">
        <f t="shared" si="143"/>
        <v>0</v>
      </c>
      <c r="K375" s="16">
        <f t="shared" si="144"/>
        <v>0</v>
      </c>
      <c r="L375">
        <f t="shared" si="145"/>
        <v>0</v>
      </c>
      <c r="M375">
        <f t="shared" si="146"/>
        <v>0</v>
      </c>
      <c r="N375" s="16">
        <f t="shared" si="147"/>
        <v>0</v>
      </c>
      <c r="O375" s="16"/>
      <c r="P375" s="17">
        <f t="shared" si="148"/>
        <v>0</v>
      </c>
      <c r="Q375">
        <f>Q374/(1+Assumptions!$E$8/12)</f>
        <v>0.2932331719409248</v>
      </c>
      <c r="S375" s="17">
        <f t="shared" si="149"/>
        <v>0</v>
      </c>
      <c r="T375" s="17">
        <f>T374*(1+$K$24)*Z375</f>
        <v>0</v>
      </c>
      <c r="U375" s="17">
        <f t="shared" si="150"/>
        <v>0</v>
      </c>
      <c r="V375" s="17">
        <f t="shared" si="151"/>
        <v>0</v>
      </c>
      <c r="W375" s="17">
        <f t="shared" si="152"/>
        <v>0</v>
      </c>
      <c r="Y375">
        <f>(MONTH(E375)=MONTH(Assumptions!$E$6))*(YEAR(Assumptions!$E$6)=YEAR('Rent v Mortgage'!E375))</f>
        <v>0</v>
      </c>
      <c r="Z375">
        <f>--(SUM($Y$28:Y374)&lt;1)*AA375</f>
        <v>0</v>
      </c>
      <c r="AA375">
        <f t="shared" si="153"/>
        <v>1</v>
      </c>
      <c r="AB375" s="20"/>
      <c r="AC375">
        <f t="shared" si="154"/>
        <v>347</v>
      </c>
      <c r="AD375">
        <f t="shared" si="155"/>
        <v>2054</v>
      </c>
      <c r="AE375" s="12">
        <f t="shared" si="156"/>
        <v>56401</v>
      </c>
      <c r="AG375" s="19">
        <f t="shared" si="157"/>
        <v>0</v>
      </c>
      <c r="AH375" s="19">
        <f t="shared" si="158"/>
        <v>0</v>
      </c>
      <c r="AI375" s="19">
        <f t="shared" si="159"/>
        <v>0</v>
      </c>
      <c r="AK375" s="19">
        <f t="shared" si="160"/>
        <v>0</v>
      </c>
      <c r="AL375" s="19">
        <f ca="1">(IF(MOD(AC375,($AE$15*12)),0,$AG375-IFERROR(SUM(OFFSET(AL374,,,-$AE$15*12)),0))-SUM($AL$28:AL374)*(Z376=0))*(Z375=1)</f>
        <v>0</v>
      </c>
      <c r="AM375" s="19">
        <f t="shared" si="161"/>
        <v>0</v>
      </c>
      <c r="AN375" s="19">
        <f t="shared" si="162"/>
        <v>0</v>
      </c>
      <c r="AP375" s="19">
        <f t="shared" ca="1" si="136"/>
        <v>0</v>
      </c>
      <c r="AQ375" s="18">
        <f t="shared" si="137"/>
        <v>0.2932331719409248</v>
      </c>
    </row>
    <row r="376" spans="3:43" x14ac:dyDescent="0.25">
      <c r="C376">
        <f t="shared" si="138"/>
        <v>348</v>
      </c>
      <c r="D376">
        <f t="shared" si="139"/>
        <v>29</v>
      </c>
      <c r="E376" s="12">
        <f t="shared" si="140"/>
        <v>56431</v>
      </c>
      <c r="F376" s="12"/>
      <c r="G376" s="15">
        <f t="shared" si="141"/>
        <v>0</v>
      </c>
      <c r="H376" s="15">
        <f t="shared" si="142"/>
        <v>0</v>
      </c>
      <c r="I376" s="15"/>
      <c r="J376" s="16">
        <f t="shared" si="143"/>
        <v>0</v>
      </c>
      <c r="K376" s="16">
        <f t="shared" si="144"/>
        <v>0</v>
      </c>
      <c r="L376">
        <f t="shared" si="145"/>
        <v>0</v>
      </c>
      <c r="M376">
        <f t="shared" si="146"/>
        <v>0</v>
      </c>
      <c r="N376" s="16">
        <f t="shared" si="147"/>
        <v>0</v>
      </c>
      <c r="O376" s="16"/>
      <c r="P376" s="17">
        <f t="shared" si="148"/>
        <v>0</v>
      </c>
      <c r="Q376">
        <f>Q375/(1+Assumptions!$E$8/12)</f>
        <v>0.29219830295130556</v>
      </c>
      <c r="S376" s="17">
        <f t="shared" si="149"/>
        <v>0</v>
      </c>
      <c r="T376" s="17">
        <f>T375*(1+$K$24)*Z376</f>
        <v>0</v>
      </c>
      <c r="U376" s="17">
        <f t="shared" si="150"/>
        <v>0</v>
      </c>
      <c r="V376" s="17">
        <f t="shared" si="151"/>
        <v>0</v>
      </c>
      <c r="W376" s="17">
        <f t="shared" si="152"/>
        <v>0</v>
      </c>
      <c r="Y376">
        <f>(MONTH(E376)=MONTH(Assumptions!$E$6))*(YEAR(Assumptions!$E$6)=YEAR('Rent v Mortgage'!E376))</f>
        <v>0</v>
      </c>
      <c r="Z376">
        <f>--(SUM($Y$28:Y375)&lt;1)*AA376</f>
        <v>0</v>
      </c>
      <c r="AA376">
        <f t="shared" si="153"/>
        <v>1</v>
      </c>
      <c r="AB376" s="20"/>
      <c r="AC376">
        <f t="shared" si="154"/>
        <v>348</v>
      </c>
      <c r="AD376">
        <f t="shared" si="155"/>
        <v>2054</v>
      </c>
      <c r="AE376" s="12">
        <f t="shared" si="156"/>
        <v>56431</v>
      </c>
      <c r="AG376" s="19">
        <f t="shared" si="157"/>
        <v>0</v>
      </c>
      <c r="AH376" s="19">
        <f t="shared" si="158"/>
        <v>0</v>
      </c>
      <c r="AI376" s="19">
        <f t="shared" si="159"/>
        <v>0</v>
      </c>
      <c r="AK376" s="19">
        <f t="shared" si="160"/>
        <v>0</v>
      </c>
      <c r="AL376" s="19">
        <f ca="1">(IF(MOD(AC376,($AE$15*12)),0,$AG376-IFERROR(SUM(OFFSET(AL375,,,-$AE$15*12)),0))-SUM($AL$28:AL375)*(Z377=0))*(Z376=1)</f>
        <v>0</v>
      </c>
      <c r="AM376" s="19">
        <f t="shared" si="161"/>
        <v>0</v>
      </c>
      <c r="AN376" s="19">
        <f t="shared" si="162"/>
        <v>0</v>
      </c>
      <c r="AP376" s="19">
        <f t="shared" ca="1" si="136"/>
        <v>0</v>
      </c>
      <c r="AQ376" s="18">
        <f t="shared" si="137"/>
        <v>0.29219830295130556</v>
      </c>
    </row>
    <row r="377" spans="3:43" x14ac:dyDescent="0.25">
      <c r="C377">
        <f t="shared" si="138"/>
        <v>349</v>
      </c>
      <c r="D377">
        <f t="shared" si="139"/>
        <v>29</v>
      </c>
      <c r="E377" s="12">
        <f t="shared" si="140"/>
        <v>56462</v>
      </c>
      <c r="F377" s="12"/>
      <c r="G377" s="15">
        <f t="shared" si="141"/>
        <v>0</v>
      </c>
      <c r="H377" s="15">
        <f t="shared" si="142"/>
        <v>0</v>
      </c>
      <c r="I377" s="15"/>
      <c r="J377" s="16">
        <f t="shared" si="143"/>
        <v>0</v>
      </c>
      <c r="K377" s="16">
        <f t="shared" si="144"/>
        <v>0</v>
      </c>
      <c r="L377">
        <f t="shared" si="145"/>
        <v>0</v>
      </c>
      <c r="M377">
        <f t="shared" si="146"/>
        <v>0</v>
      </c>
      <c r="N377" s="16">
        <f t="shared" si="147"/>
        <v>0</v>
      </c>
      <c r="O377" s="16"/>
      <c r="P377" s="17">
        <f t="shared" si="148"/>
        <v>0</v>
      </c>
      <c r="Q377">
        <f>Q376/(1+Assumptions!$E$8/12)</f>
        <v>0.29116708618772402</v>
      </c>
      <c r="S377" s="17">
        <f t="shared" si="149"/>
        <v>0</v>
      </c>
      <c r="T377" s="17">
        <f>T376*(1+$K$24)*Z377</f>
        <v>0</v>
      </c>
      <c r="U377" s="17">
        <f t="shared" si="150"/>
        <v>0</v>
      </c>
      <c r="V377" s="17">
        <f t="shared" si="151"/>
        <v>0</v>
      </c>
      <c r="W377" s="17">
        <f t="shared" si="152"/>
        <v>0</v>
      </c>
      <c r="Y377">
        <f>(MONTH(E377)=MONTH(Assumptions!$E$6))*(YEAR(Assumptions!$E$6)=YEAR('Rent v Mortgage'!E377))</f>
        <v>0</v>
      </c>
      <c r="Z377">
        <f>--(SUM($Y$28:Y376)&lt;1)*AA377</f>
        <v>0</v>
      </c>
      <c r="AA377">
        <f t="shared" si="153"/>
        <v>1</v>
      </c>
      <c r="AB377" s="20"/>
      <c r="AC377">
        <f t="shared" si="154"/>
        <v>349</v>
      </c>
      <c r="AD377">
        <f t="shared" si="155"/>
        <v>2054</v>
      </c>
      <c r="AE377" s="12">
        <f t="shared" si="156"/>
        <v>56462</v>
      </c>
      <c r="AG377" s="19">
        <f t="shared" si="157"/>
        <v>0</v>
      </c>
      <c r="AH377" s="19">
        <f t="shared" si="158"/>
        <v>0</v>
      </c>
      <c r="AI377" s="19">
        <f t="shared" si="159"/>
        <v>0</v>
      </c>
      <c r="AK377" s="19">
        <f t="shared" si="160"/>
        <v>0</v>
      </c>
      <c r="AL377" s="19">
        <f ca="1">(IF(MOD(AC377,($AE$15*12)),0,$AG377-IFERROR(SUM(OFFSET(AL376,,,-$AE$15*12)),0))-SUM($AL$28:AL376)*(Z378=0))*(Z377=1)</f>
        <v>0</v>
      </c>
      <c r="AM377" s="19">
        <f t="shared" si="161"/>
        <v>0</v>
      </c>
      <c r="AN377" s="19">
        <f t="shared" si="162"/>
        <v>0</v>
      </c>
      <c r="AP377" s="19">
        <f t="shared" ca="1" si="136"/>
        <v>0</v>
      </c>
      <c r="AQ377" s="18">
        <f t="shared" si="137"/>
        <v>0.29116708618772402</v>
      </c>
    </row>
    <row r="378" spans="3:43" x14ac:dyDescent="0.25">
      <c r="C378">
        <f t="shared" si="138"/>
        <v>350</v>
      </c>
      <c r="D378">
        <f t="shared" si="139"/>
        <v>29</v>
      </c>
      <c r="E378" s="12">
        <f t="shared" si="140"/>
        <v>56493</v>
      </c>
      <c r="F378" s="12"/>
      <c r="G378" s="15">
        <f t="shared" si="141"/>
        <v>0</v>
      </c>
      <c r="H378" s="15">
        <f t="shared" si="142"/>
        <v>0</v>
      </c>
      <c r="I378" s="15"/>
      <c r="J378" s="16">
        <f t="shared" si="143"/>
        <v>0</v>
      </c>
      <c r="K378" s="16">
        <f t="shared" si="144"/>
        <v>0</v>
      </c>
      <c r="L378">
        <f t="shared" si="145"/>
        <v>0</v>
      </c>
      <c r="M378">
        <f t="shared" si="146"/>
        <v>0</v>
      </c>
      <c r="N378" s="16">
        <f t="shared" si="147"/>
        <v>0</v>
      </c>
      <c r="O378" s="16"/>
      <c r="P378" s="17">
        <f t="shared" si="148"/>
        <v>0</v>
      </c>
      <c r="Q378">
        <f>Q377/(1+Assumptions!$E$8/12)</f>
        <v>0.29013950876086259</v>
      </c>
      <c r="S378" s="17">
        <f t="shared" si="149"/>
        <v>0</v>
      </c>
      <c r="T378" s="17">
        <f>T377*(1+$K$24)*Z378</f>
        <v>0</v>
      </c>
      <c r="U378" s="17">
        <f t="shared" si="150"/>
        <v>0</v>
      </c>
      <c r="V378" s="17">
        <f t="shared" si="151"/>
        <v>0</v>
      </c>
      <c r="W378" s="17">
        <f t="shared" si="152"/>
        <v>0</v>
      </c>
      <c r="Y378">
        <f>(MONTH(E378)=MONTH(Assumptions!$E$6))*(YEAR(Assumptions!$E$6)=YEAR('Rent v Mortgage'!E378))</f>
        <v>0</v>
      </c>
      <c r="Z378">
        <f>--(SUM($Y$28:Y377)&lt;1)*AA378</f>
        <v>0</v>
      </c>
      <c r="AA378">
        <f t="shared" si="153"/>
        <v>1</v>
      </c>
      <c r="AB378" s="20"/>
      <c r="AC378">
        <f t="shared" si="154"/>
        <v>350</v>
      </c>
      <c r="AD378">
        <f t="shared" si="155"/>
        <v>2054</v>
      </c>
      <c r="AE378" s="12">
        <f t="shared" si="156"/>
        <v>56493</v>
      </c>
      <c r="AG378" s="19">
        <f t="shared" si="157"/>
        <v>0</v>
      </c>
      <c r="AH378" s="19">
        <f t="shared" si="158"/>
        <v>0</v>
      </c>
      <c r="AI378" s="19">
        <f t="shared" si="159"/>
        <v>0</v>
      </c>
      <c r="AK378" s="19">
        <f t="shared" si="160"/>
        <v>0</v>
      </c>
      <c r="AL378" s="19">
        <f ca="1">(IF(MOD(AC378,($AE$15*12)),0,$AG378-IFERROR(SUM(OFFSET(AL377,,,-$AE$15*12)),0))-SUM($AL$28:AL377)*(Z379=0))*(Z378=1)</f>
        <v>0</v>
      </c>
      <c r="AM378" s="19">
        <f t="shared" si="161"/>
        <v>0</v>
      </c>
      <c r="AN378" s="19">
        <f t="shared" si="162"/>
        <v>0</v>
      </c>
      <c r="AP378" s="19">
        <f t="shared" ca="1" si="136"/>
        <v>0</v>
      </c>
      <c r="AQ378" s="18">
        <f t="shared" si="137"/>
        <v>0.29013950876086259</v>
      </c>
    </row>
    <row r="379" spans="3:43" x14ac:dyDescent="0.25">
      <c r="C379">
        <f t="shared" si="138"/>
        <v>351</v>
      </c>
      <c r="D379">
        <f t="shared" si="139"/>
        <v>29</v>
      </c>
      <c r="E379" s="12">
        <f t="shared" si="140"/>
        <v>56523</v>
      </c>
      <c r="F379" s="12"/>
      <c r="G379" s="15">
        <f t="shared" si="141"/>
        <v>0</v>
      </c>
      <c r="H379" s="15">
        <f t="shared" si="142"/>
        <v>0</v>
      </c>
      <c r="I379" s="15"/>
      <c r="J379" s="16">
        <f t="shared" si="143"/>
        <v>0</v>
      </c>
      <c r="K379" s="16">
        <f t="shared" si="144"/>
        <v>0</v>
      </c>
      <c r="L379">
        <f t="shared" si="145"/>
        <v>0</v>
      </c>
      <c r="M379">
        <f t="shared" si="146"/>
        <v>0</v>
      </c>
      <c r="N379" s="16">
        <f t="shared" si="147"/>
        <v>0</v>
      </c>
      <c r="O379" s="16"/>
      <c r="P379" s="17">
        <f t="shared" si="148"/>
        <v>0</v>
      </c>
      <c r="Q379">
        <f>Q378/(1+Assumptions!$E$8/12)</f>
        <v>0.2891155578268923</v>
      </c>
      <c r="S379" s="17">
        <f t="shared" si="149"/>
        <v>0</v>
      </c>
      <c r="T379" s="17">
        <f>T378*(1+$K$24)*Z379</f>
        <v>0</v>
      </c>
      <c r="U379" s="17">
        <f t="shared" si="150"/>
        <v>0</v>
      </c>
      <c r="V379" s="17">
        <f t="shared" si="151"/>
        <v>0</v>
      </c>
      <c r="W379" s="17">
        <f t="shared" si="152"/>
        <v>0</v>
      </c>
      <c r="Y379">
        <f>(MONTH(E379)=MONTH(Assumptions!$E$6))*(YEAR(Assumptions!$E$6)=YEAR('Rent v Mortgage'!E379))</f>
        <v>0</v>
      </c>
      <c r="Z379">
        <f>--(SUM($Y$28:Y378)&lt;1)*AA379</f>
        <v>0</v>
      </c>
      <c r="AA379">
        <f t="shared" si="153"/>
        <v>1</v>
      </c>
      <c r="AB379" s="20"/>
      <c r="AC379">
        <f t="shared" si="154"/>
        <v>351</v>
      </c>
      <c r="AD379">
        <f t="shared" si="155"/>
        <v>2054</v>
      </c>
      <c r="AE379" s="12">
        <f t="shared" si="156"/>
        <v>56523</v>
      </c>
      <c r="AG379" s="19">
        <f t="shared" si="157"/>
        <v>0</v>
      </c>
      <c r="AH379" s="19">
        <f t="shared" si="158"/>
        <v>0</v>
      </c>
      <c r="AI379" s="19">
        <f t="shared" si="159"/>
        <v>0</v>
      </c>
      <c r="AK379" s="19">
        <f t="shared" si="160"/>
        <v>0</v>
      </c>
      <c r="AL379" s="19">
        <f ca="1">(IF(MOD(AC379,($AE$15*12)),0,$AG379-IFERROR(SUM(OFFSET(AL378,,,-$AE$15*12)),0))-SUM($AL$28:AL378)*(Z380=0))*(Z379=1)</f>
        <v>0</v>
      </c>
      <c r="AM379" s="19">
        <f t="shared" si="161"/>
        <v>0</v>
      </c>
      <c r="AN379" s="19">
        <f t="shared" si="162"/>
        <v>0</v>
      </c>
      <c r="AP379" s="19">
        <f t="shared" ca="1" si="136"/>
        <v>0</v>
      </c>
      <c r="AQ379" s="18">
        <f t="shared" si="137"/>
        <v>0.2891155578268923</v>
      </c>
    </row>
    <row r="380" spans="3:43" x14ac:dyDescent="0.25">
      <c r="C380">
        <f t="shared" si="138"/>
        <v>352</v>
      </c>
      <c r="D380">
        <f t="shared" si="139"/>
        <v>29</v>
      </c>
      <c r="E380" s="12">
        <f t="shared" si="140"/>
        <v>56554</v>
      </c>
      <c r="F380" s="12"/>
      <c r="G380" s="15">
        <f t="shared" si="141"/>
        <v>0</v>
      </c>
      <c r="H380" s="15">
        <f t="shared" si="142"/>
        <v>0</v>
      </c>
      <c r="I380" s="15"/>
      <c r="J380" s="16">
        <f t="shared" si="143"/>
        <v>0</v>
      </c>
      <c r="K380" s="16">
        <f t="shared" si="144"/>
        <v>0</v>
      </c>
      <c r="L380">
        <f t="shared" si="145"/>
        <v>0</v>
      </c>
      <c r="M380">
        <f t="shared" si="146"/>
        <v>0</v>
      </c>
      <c r="N380" s="16">
        <f t="shared" si="147"/>
        <v>0</v>
      </c>
      <c r="O380" s="16"/>
      <c r="P380" s="17">
        <f t="shared" si="148"/>
        <v>0</v>
      </c>
      <c r="Q380">
        <f>Q379/(1+Assumptions!$E$8/12)</f>
        <v>0.28809522058731218</v>
      </c>
      <c r="S380" s="17">
        <f t="shared" si="149"/>
        <v>0</v>
      </c>
      <c r="T380" s="17">
        <f>T379*(1+$K$24)*Z380</f>
        <v>0</v>
      </c>
      <c r="U380" s="17">
        <f t="shared" si="150"/>
        <v>0</v>
      </c>
      <c r="V380" s="17">
        <f t="shared" si="151"/>
        <v>0</v>
      </c>
      <c r="W380" s="17">
        <f t="shared" si="152"/>
        <v>0</v>
      </c>
      <c r="Y380">
        <f>(MONTH(E380)=MONTH(Assumptions!$E$6))*(YEAR(Assumptions!$E$6)=YEAR('Rent v Mortgage'!E380))</f>
        <v>0</v>
      </c>
      <c r="Z380">
        <f>--(SUM($Y$28:Y379)&lt;1)*AA380</f>
        <v>0</v>
      </c>
      <c r="AA380">
        <f t="shared" si="153"/>
        <v>1</v>
      </c>
      <c r="AB380" s="20"/>
      <c r="AC380">
        <f t="shared" si="154"/>
        <v>352</v>
      </c>
      <c r="AD380">
        <f t="shared" si="155"/>
        <v>2054</v>
      </c>
      <c r="AE380" s="12">
        <f t="shared" si="156"/>
        <v>56554</v>
      </c>
      <c r="AG380" s="19">
        <f t="shared" si="157"/>
        <v>0</v>
      </c>
      <c r="AH380" s="19">
        <f t="shared" si="158"/>
        <v>0</v>
      </c>
      <c r="AI380" s="19">
        <f t="shared" si="159"/>
        <v>0</v>
      </c>
      <c r="AK380" s="19">
        <f t="shared" si="160"/>
        <v>0</v>
      </c>
      <c r="AL380" s="19">
        <f ca="1">(IF(MOD(AC380,($AE$15*12)),0,$AG380-IFERROR(SUM(OFFSET(AL379,,,-$AE$15*12)),0))-SUM($AL$28:AL379)*(Z381=0))*(Z380=1)</f>
        <v>0</v>
      </c>
      <c r="AM380" s="19">
        <f t="shared" si="161"/>
        <v>0</v>
      </c>
      <c r="AN380" s="19">
        <f t="shared" si="162"/>
        <v>0</v>
      </c>
      <c r="AP380" s="19">
        <f t="shared" ca="1" si="136"/>
        <v>0</v>
      </c>
      <c r="AQ380" s="18">
        <f t="shared" si="137"/>
        <v>0.28809522058731218</v>
      </c>
    </row>
    <row r="381" spans="3:43" x14ac:dyDescent="0.25">
      <c r="C381">
        <f t="shared" si="138"/>
        <v>353</v>
      </c>
      <c r="D381">
        <f t="shared" si="139"/>
        <v>29</v>
      </c>
      <c r="E381" s="12">
        <f t="shared" si="140"/>
        <v>56584</v>
      </c>
      <c r="F381" s="12"/>
      <c r="G381" s="15">
        <f t="shared" si="141"/>
        <v>0</v>
      </c>
      <c r="H381" s="15">
        <f t="shared" si="142"/>
        <v>0</v>
      </c>
      <c r="I381" s="15"/>
      <c r="J381" s="16">
        <f t="shared" si="143"/>
        <v>0</v>
      </c>
      <c r="K381" s="16">
        <f t="shared" si="144"/>
        <v>0</v>
      </c>
      <c r="L381">
        <f t="shared" si="145"/>
        <v>0</v>
      </c>
      <c r="M381">
        <f t="shared" si="146"/>
        <v>0</v>
      </c>
      <c r="N381" s="16">
        <f t="shared" si="147"/>
        <v>0</v>
      </c>
      <c r="O381" s="16"/>
      <c r="P381" s="17">
        <f t="shared" si="148"/>
        <v>0</v>
      </c>
      <c r="Q381">
        <f>Q380/(1+Assumptions!$E$8/12)</f>
        <v>0.28707848428878935</v>
      </c>
      <c r="S381" s="17">
        <f t="shared" si="149"/>
        <v>0</v>
      </c>
      <c r="T381" s="17">
        <f>T380*(1+$K$24)*Z381</f>
        <v>0</v>
      </c>
      <c r="U381" s="17">
        <f t="shared" si="150"/>
        <v>0</v>
      </c>
      <c r="V381" s="17">
        <f t="shared" si="151"/>
        <v>0</v>
      </c>
      <c r="W381" s="17">
        <f t="shared" si="152"/>
        <v>0</v>
      </c>
      <c r="Y381">
        <f>(MONTH(E381)=MONTH(Assumptions!$E$6))*(YEAR(Assumptions!$E$6)=YEAR('Rent v Mortgage'!E381))</f>
        <v>0</v>
      </c>
      <c r="Z381">
        <f>--(SUM($Y$28:Y380)&lt;1)*AA381</f>
        <v>0</v>
      </c>
      <c r="AA381">
        <f t="shared" si="153"/>
        <v>1</v>
      </c>
      <c r="AB381" s="20"/>
      <c r="AC381">
        <f t="shared" si="154"/>
        <v>353</v>
      </c>
      <c r="AD381">
        <f t="shared" si="155"/>
        <v>2054</v>
      </c>
      <c r="AE381" s="12">
        <f t="shared" si="156"/>
        <v>56584</v>
      </c>
      <c r="AG381" s="19">
        <f t="shared" si="157"/>
        <v>0</v>
      </c>
      <c r="AH381" s="19">
        <f t="shared" si="158"/>
        <v>0</v>
      </c>
      <c r="AI381" s="19">
        <f t="shared" si="159"/>
        <v>0</v>
      </c>
      <c r="AK381" s="19">
        <f t="shared" si="160"/>
        <v>0</v>
      </c>
      <c r="AL381" s="19">
        <f ca="1">(IF(MOD(AC381,($AE$15*12)),0,$AG381-IFERROR(SUM(OFFSET(AL380,,,-$AE$15*12)),0))-SUM($AL$28:AL380)*(Z382=0))*(Z381=1)</f>
        <v>0</v>
      </c>
      <c r="AM381" s="19">
        <f t="shared" si="161"/>
        <v>0</v>
      </c>
      <c r="AN381" s="19">
        <f t="shared" si="162"/>
        <v>0</v>
      </c>
      <c r="AP381" s="19">
        <f t="shared" ca="1" si="136"/>
        <v>0</v>
      </c>
      <c r="AQ381" s="18">
        <f t="shared" si="137"/>
        <v>0.28707848428878935</v>
      </c>
    </row>
    <row r="382" spans="3:43" x14ac:dyDescent="0.25">
      <c r="C382">
        <f t="shared" si="138"/>
        <v>354</v>
      </c>
      <c r="D382">
        <f t="shared" si="139"/>
        <v>29</v>
      </c>
      <c r="E382" s="12">
        <f t="shared" si="140"/>
        <v>56615</v>
      </c>
      <c r="F382" s="12"/>
      <c r="G382" s="15">
        <f t="shared" si="141"/>
        <v>0</v>
      </c>
      <c r="H382" s="15">
        <f t="shared" si="142"/>
        <v>0</v>
      </c>
      <c r="I382" s="15"/>
      <c r="J382" s="16">
        <f t="shared" si="143"/>
        <v>0</v>
      </c>
      <c r="K382" s="16">
        <f t="shared" si="144"/>
        <v>0</v>
      </c>
      <c r="L382">
        <f t="shared" si="145"/>
        <v>0</v>
      </c>
      <c r="M382">
        <f t="shared" si="146"/>
        <v>0</v>
      </c>
      <c r="N382" s="16">
        <f t="shared" si="147"/>
        <v>0</v>
      </c>
      <c r="O382" s="16"/>
      <c r="P382" s="17">
        <f t="shared" si="148"/>
        <v>0</v>
      </c>
      <c r="Q382">
        <f>Q381/(1+Assumptions!$E$8/12)</f>
        <v>0.28606533622299951</v>
      </c>
      <c r="S382" s="17">
        <f t="shared" si="149"/>
        <v>0</v>
      </c>
      <c r="T382" s="17">
        <f>T381*(1+$K$24)*Z382</f>
        <v>0</v>
      </c>
      <c r="U382" s="17">
        <f t="shared" si="150"/>
        <v>0</v>
      </c>
      <c r="V382" s="17">
        <f t="shared" si="151"/>
        <v>0</v>
      </c>
      <c r="W382" s="17">
        <f t="shared" si="152"/>
        <v>0</v>
      </c>
      <c r="Y382">
        <f>(MONTH(E382)=MONTH(Assumptions!$E$6))*(YEAR(Assumptions!$E$6)=YEAR('Rent v Mortgage'!E382))</f>
        <v>0</v>
      </c>
      <c r="Z382">
        <f>--(SUM($Y$28:Y381)&lt;1)*AA382</f>
        <v>0</v>
      </c>
      <c r="AA382">
        <f t="shared" si="153"/>
        <v>1</v>
      </c>
      <c r="AB382" s="20"/>
      <c r="AC382">
        <f t="shared" si="154"/>
        <v>354</v>
      </c>
      <c r="AD382">
        <f t="shared" si="155"/>
        <v>2055</v>
      </c>
      <c r="AE382" s="12">
        <f t="shared" si="156"/>
        <v>56615</v>
      </c>
      <c r="AG382" s="19">
        <f t="shared" si="157"/>
        <v>0</v>
      </c>
      <c r="AH382" s="19">
        <f t="shared" si="158"/>
        <v>0</v>
      </c>
      <c r="AI382" s="19">
        <f t="shared" si="159"/>
        <v>0</v>
      </c>
      <c r="AK382" s="19">
        <f t="shared" si="160"/>
        <v>0</v>
      </c>
      <c r="AL382" s="19">
        <f ca="1">(IF(MOD(AC382,($AE$15*12)),0,$AG382-IFERROR(SUM(OFFSET(AL381,,,-$AE$15*12)),0))-SUM($AL$28:AL381)*(Z383=0))*(Z382=1)</f>
        <v>0</v>
      </c>
      <c r="AM382" s="19">
        <f t="shared" si="161"/>
        <v>0</v>
      </c>
      <c r="AN382" s="19">
        <f t="shared" si="162"/>
        <v>0</v>
      </c>
      <c r="AP382" s="19">
        <f t="shared" ca="1" si="136"/>
        <v>0</v>
      </c>
      <c r="AQ382" s="18">
        <f t="shared" si="137"/>
        <v>0.28606533622299951</v>
      </c>
    </row>
    <row r="383" spans="3:43" x14ac:dyDescent="0.25">
      <c r="C383">
        <f t="shared" si="138"/>
        <v>355</v>
      </c>
      <c r="D383">
        <f t="shared" si="139"/>
        <v>29</v>
      </c>
      <c r="E383" s="12">
        <f t="shared" si="140"/>
        <v>56646</v>
      </c>
      <c r="F383" s="12"/>
      <c r="G383" s="15">
        <f t="shared" si="141"/>
        <v>0</v>
      </c>
      <c r="H383" s="15">
        <f t="shared" si="142"/>
        <v>0</v>
      </c>
      <c r="I383" s="15"/>
      <c r="J383" s="16">
        <f t="shared" si="143"/>
        <v>0</v>
      </c>
      <c r="K383" s="16">
        <f t="shared" si="144"/>
        <v>0</v>
      </c>
      <c r="L383">
        <f t="shared" si="145"/>
        <v>0</v>
      </c>
      <c r="M383">
        <f t="shared" si="146"/>
        <v>0</v>
      </c>
      <c r="N383" s="16">
        <f t="shared" si="147"/>
        <v>0</v>
      </c>
      <c r="O383" s="16"/>
      <c r="P383" s="17">
        <f t="shared" si="148"/>
        <v>0</v>
      </c>
      <c r="Q383">
        <f>Q382/(1+Assumptions!$E$8/12)</f>
        <v>0.28505576372646824</v>
      </c>
      <c r="S383" s="17">
        <f t="shared" si="149"/>
        <v>0</v>
      </c>
      <c r="T383" s="17">
        <f>T382*(1+$K$24)*Z383</f>
        <v>0</v>
      </c>
      <c r="U383" s="17">
        <f t="shared" si="150"/>
        <v>0</v>
      </c>
      <c r="V383" s="17">
        <f t="shared" si="151"/>
        <v>0</v>
      </c>
      <c r="W383" s="17">
        <f t="shared" si="152"/>
        <v>0</v>
      </c>
      <c r="Y383">
        <f>(MONTH(E383)=MONTH(Assumptions!$E$6))*(YEAR(Assumptions!$E$6)=YEAR('Rent v Mortgage'!E383))</f>
        <v>0</v>
      </c>
      <c r="Z383">
        <f>--(SUM($Y$28:Y382)&lt;1)*AA383</f>
        <v>0</v>
      </c>
      <c r="AA383">
        <f t="shared" si="153"/>
        <v>1</v>
      </c>
      <c r="AB383" s="20"/>
      <c r="AC383">
        <f t="shared" si="154"/>
        <v>355</v>
      </c>
      <c r="AD383">
        <f t="shared" si="155"/>
        <v>2055</v>
      </c>
      <c r="AE383" s="12">
        <f t="shared" si="156"/>
        <v>56646</v>
      </c>
      <c r="AG383" s="19">
        <f t="shared" si="157"/>
        <v>0</v>
      </c>
      <c r="AH383" s="19">
        <f t="shared" si="158"/>
        <v>0</v>
      </c>
      <c r="AI383" s="19">
        <f t="shared" si="159"/>
        <v>0</v>
      </c>
      <c r="AK383" s="19">
        <f t="shared" si="160"/>
        <v>0</v>
      </c>
      <c r="AL383" s="19">
        <f ca="1">(IF(MOD(AC383,($AE$15*12)),0,$AG383-IFERROR(SUM(OFFSET(AL382,,,-$AE$15*12)),0))-SUM($AL$28:AL382)*(Z384=0))*(Z383=1)</f>
        <v>0</v>
      </c>
      <c r="AM383" s="19">
        <f t="shared" si="161"/>
        <v>0</v>
      </c>
      <c r="AN383" s="19">
        <f t="shared" si="162"/>
        <v>0</v>
      </c>
      <c r="AP383" s="19">
        <f t="shared" ca="1" si="136"/>
        <v>0</v>
      </c>
      <c r="AQ383" s="18">
        <f t="shared" si="137"/>
        <v>0.28505576372646824</v>
      </c>
    </row>
    <row r="384" spans="3:43" x14ac:dyDescent="0.25">
      <c r="C384">
        <f t="shared" si="138"/>
        <v>356</v>
      </c>
      <c r="D384">
        <f t="shared" si="139"/>
        <v>29</v>
      </c>
      <c r="E384" s="12">
        <f t="shared" si="140"/>
        <v>56674</v>
      </c>
      <c r="F384" s="12"/>
      <c r="G384" s="15">
        <f t="shared" si="141"/>
        <v>0</v>
      </c>
      <c r="H384" s="15">
        <f t="shared" si="142"/>
        <v>0</v>
      </c>
      <c r="I384" s="15"/>
      <c r="J384" s="16">
        <f t="shared" si="143"/>
        <v>0</v>
      </c>
      <c r="K384" s="16">
        <f t="shared" si="144"/>
        <v>0</v>
      </c>
      <c r="L384">
        <f t="shared" si="145"/>
        <v>0</v>
      </c>
      <c r="M384">
        <f t="shared" si="146"/>
        <v>0</v>
      </c>
      <c r="N384" s="16">
        <f t="shared" si="147"/>
        <v>0</v>
      </c>
      <c r="O384" s="16"/>
      <c r="P384" s="17">
        <f t="shared" si="148"/>
        <v>0</v>
      </c>
      <c r="Q384">
        <f>Q383/(1+Assumptions!$E$8/12)</f>
        <v>0.28404975418041256</v>
      </c>
      <c r="S384" s="17">
        <f t="shared" si="149"/>
        <v>0</v>
      </c>
      <c r="T384" s="17">
        <f>T383*(1+$K$24)*Z384</f>
        <v>0</v>
      </c>
      <c r="U384" s="17">
        <f t="shared" si="150"/>
        <v>0</v>
      </c>
      <c r="V384" s="17">
        <f t="shared" si="151"/>
        <v>0</v>
      </c>
      <c r="W384" s="17">
        <f t="shared" si="152"/>
        <v>0</v>
      </c>
      <c r="Y384">
        <f>(MONTH(E384)=MONTH(Assumptions!$E$6))*(YEAR(Assumptions!$E$6)=YEAR('Rent v Mortgage'!E384))</f>
        <v>0</v>
      </c>
      <c r="Z384">
        <f>--(SUM($Y$28:Y383)&lt;1)*AA384</f>
        <v>0</v>
      </c>
      <c r="AA384">
        <f t="shared" si="153"/>
        <v>1</v>
      </c>
      <c r="AB384" s="20"/>
      <c r="AC384">
        <f t="shared" si="154"/>
        <v>356</v>
      </c>
      <c r="AD384">
        <f t="shared" si="155"/>
        <v>2055</v>
      </c>
      <c r="AE384" s="12">
        <f t="shared" si="156"/>
        <v>56674</v>
      </c>
      <c r="AG384" s="19">
        <f t="shared" si="157"/>
        <v>0</v>
      </c>
      <c r="AH384" s="19">
        <f t="shared" si="158"/>
        <v>0</v>
      </c>
      <c r="AI384" s="19">
        <f t="shared" si="159"/>
        <v>0</v>
      </c>
      <c r="AK384" s="19">
        <f t="shared" si="160"/>
        <v>0</v>
      </c>
      <c r="AL384" s="19">
        <f ca="1">(IF(MOD(AC384,($AE$15*12)),0,$AG384-IFERROR(SUM(OFFSET(AL383,,,-$AE$15*12)),0))-SUM($AL$28:AL383)*(Z385=0))*(Z384=1)</f>
        <v>0</v>
      </c>
      <c r="AM384" s="19">
        <f t="shared" si="161"/>
        <v>0</v>
      </c>
      <c r="AN384" s="19">
        <f t="shared" si="162"/>
        <v>0</v>
      </c>
      <c r="AP384" s="19">
        <f t="shared" ca="1" si="136"/>
        <v>0</v>
      </c>
      <c r="AQ384" s="18">
        <f t="shared" si="137"/>
        <v>0.28404975418041256</v>
      </c>
    </row>
    <row r="385" spans="3:43" x14ac:dyDescent="0.25">
      <c r="C385">
        <f t="shared" si="138"/>
        <v>357</v>
      </c>
      <c r="D385">
        <f t="shared" si="139"/>
        <v>29</v>
      </c>
      <c r="E385" s="12">
        <f t="shared" si="140"/>
        <v>56705</v>
      </c>
      <c r="F385" s="12"/>
      <c r="G385" s="15">
        <f t="shared" si="141"/>
        <v>0</v>
      </c>
      <c r="H385" s="15">
        <f t="shared" si="142"/>
        <v>0</v>
      </c>
      <c r="I385" s="15"/>
      <c r="J385" s="16">
        <f t="shared" si="143"/>
        <v>0</v>
      </c>
      <c r="K385" s="16">
        <f t="shared" si="144"/>
        <v>0</v>
      </c>
      <c r="L385">
        <f t="shared" si="145"/>
        <v>0</v>
      </c>
      <c r="M385">
        <f t="shared" si="146"/>
        <v>0</v>
      </c>
      <c r="N385" s="16">
        <f t="shared" si="147"/>
        <v>0</v>
      </c>
      <c r="O385" s="16"/>
      <c r="P385" s="17">
        <f t="shared" si="148"/>
        <v>0</v>
      </c>
      <c r="Q385">
        <f>Q384/(1+Assumptions!$E$8/12)</f>
        <v>0.2830472950105834</v>
      </c>
      <c r="S385" s="17">
        <f t="shared" si="149"/>
        <v>0</v>
      </c>
      <c r="T385" s="17">
        <f>T384*(1+$K$24)*Z385</f>
        <v>0</v>
      </c>
      <c r="U385" s="17">
        <f t="shared" si="150"/>
        <v>0</v>
      </c>
      <c r="V385" s="17">
        <f t="shared" si="151"/>
        <v>0</v>
      </c>
      <c r="W385" s="17">
        <f t="shared" si="152"/>
        <v>0</v>
      </c>
      <c r="Y385">
        <f>(MONTH(E385)=MONTH(Assumptions!$E$6))*(YEAR(Assumptions!$E$6)=YEAR('Rent v Mortgage'!E385))</f>
        <v>0</v>
      </c>
      <c r="Z385">
        <f>--(SUM($Y$28:Y384)&lt;1)*AA385</f>
        <v>0</v>
      </c>
      <c r="AA385">
        <f t="shared" si="153"/>
        <v>1</v>
      </c>
      <c r="AB385" s="20"/>
      <c r="AC385">
        <f t="shared" si="154"/>
        <v>357</v>
      </c>
      <c r="AD385">
        <f t="shared" si="155"/>
        <v>2055</v>
      </c>
      <c r="AE385" s="12">
        <f t="shared" si="156"/>
        <v>56705</v>
      </c>
      <c r="AG385" s="19">
        <f t="shared" si="157"/>
        <v>0</v>
      </c>
      <c r="AH385" s="19">
        <f t="shared" si="158"/>
        <v>0</v>
      </c>
      <c r="AI385" s="19">
        <f t="shared" si="159"/>
        <v>0</v>
      </c>
      <c r="AK385" s="19">
        <f t="shared" si="160"/>
        <v>0</v>
      </c>
      <c r="AL385" s="19">
        <f ca="1">(IF(MOD(AC385,($AE$15*12)),0,$AG385-IFERROR(SUM(OFFSET(AL384,,,-$AE$15*12)),0))-SUM($AL$28:AL384)*(Z386=0))*(Z385=1)</f>
        <v>0</v>
      </c>
      <c r="AM385" s="19">
        <f t="shared" si="161"/>
        <v>0</v>
      </c>
      <c r="AN385" s="19">
        <f t="shared" si="162"/>
        <v>0</v>
      </c>
      <c r="AP385" s="19">
        <f t="shared" ca="1" si="136"/>
        <v>0</v>
      </c>
      <c r="AQ385" s="18">
        <f t="shared" si="137"/>
        <v>0.2830472950105834</v>
      </c>
    </row>
    <row r="386" spans="3:43" x14ac:dyDescent="0.25">
      <c r="C386">
        <f t="shared" si="138"/>
        <v>358</v>
      </c>
      <c r="D386">
        <f t="shared" si="139"/>
        <v>29</v>
      </c>
      <c r="E386" s="12">
        <f t="shared" si="140"/>
        <v>56735</v>
      </c>
      <c r="F386" s="12"/>
      <c r="G386" s="15">
        <f t="shared" si="141"/>
        <v>0</v>
      </c>
      <c r="H386" s="15">
        <f t="shared" si="142"/>
        <v>0</v>
      </c>
      <c r="I386" s="15"/>
      <c r="J386" s="16">
        <f t="shared" si="143"/>
        <v>0</v>
      </c>
      <c r="K386" s="16">
        <f t="shared" si="144"/>
        <v>0</v>
      </c>
      <c r="L386">
        <f t="shared" si="145"/>
        <v>0</v>
      </c>
      <c r="M386">
        <f t="shared" si="146"/>
        <v>0</v>
      </c>
      <c r="N386" s="16">
        <f t="shared" si="147"/>
        <v>0</v>
      </c>
      <c r="O386" s="16"/>
      <c r="P386" s="17">
        <f t="shared" si="148"/>
        <v>0</v>
      </c>
      <c r="Q386">
        <f>Q385/(1+Assumptions!$E$8/12)</f>
        <v>0.28204837368710817</v>
      </c>
      <c r="S386" s="17">
        <f t="shared" si="149"/>
        <v>0</v>
      </c>
      <c r="T386" s="17">
        <f>T385*(1+$K$24)*Z386</f>
        <v>0</v>
      </c>
      <c r="U386" s="17">
        <f t="shared" si="150"/>
        <v>0</v>
      </c>
      <c r="V386" s="17">
        <f t="shared" si="151"/>
        <v>0</v>
      </c>
      <c r="W386" s="17">
        <f t="shared" si="152"/>
        <v>0</v>
      </c>
      <c r="Y386">
        <f>(MONTH(E386)=MONTH(Assumptions!$E$6))*(YEAR(Assumptions!$E$6)=YEAR('Rent v Mortgage'!E386))</f>
        <v>0</v>
      </c>
      <c r="Z386">
        <f>--(SUM($Y$28:Y385)&lt;1)*AA386</f>
        <v>0</v>
      </c>
      <c r="AA386">
        <f t="shared" si="153"/>
        <v>1</v>
      </c>
      <c r="AB386" s="20"/>
      <c r="AC386">
        <f t="shared" si="154"/>
        <v>358</v>
      </c>
      <c r="AD386">
        <f t="shared" si="155"/>
        <v>2055</v>
      </c>
      <c r="AE386" s="12">
        <f t="shared" si="156"/>
        <v>56735</v>
      </c>
      <c r="AG386" s="19">
        <f t="shared" si="157"/>
        <v>0</v>
      </c>
      <c r="AH386" s="19">
        <f t="shared" si="158"/>
        <v>0</v>
      </c>
      <c r="AI386" s="19">
        <f t="shared" si="159"/>
        <v>0</v>
      </c>
      <c r="AK386" s="19">
        <f t="shared" si="160"/>
        <v>0</v>
      </c>
      <c r="AL386" s="19">
        <f ca="1">(IF(MOD(AC386,($AE$15*12)),0,$AG386-IFERROR(SUM(OFFSET(AL385,,,-$AE$15*12)),0))-SUM($AL$28:AL385)*(Z387=0))*(Z386=1)</f>
        <v>0</v>
      </c>
      <c r="AM386" s="19">
        <f t="shared" si="161"/>
        <v>0</v>
      </c>
      <c r="AN386" s="19">
        <f t="shared" si="162"/>
        <v>0</v>
      </c>
      <c r="AP386" s="19">
        <f t="shared" ca="1" si="136"/>
        <v>0</v>
      </c>
      <c r="AQ386" s="18">
        <f t="shared" si="137"/>
        <v>0.28204837368710817</v>
      </c>
    </row>
    <row r="387" spans="3:43" x14ac:dyDescent="0.25">
      <c r="C387">
        <f t="shared" si="138"/>
        <v>359</v>
      </c>
      <c r="D387">
        <f t="shared" si="139"/>
        <v>29</v>
      </c>
      <c r="E387" s="12">
        <f t="shared" si="140"/>
        <v>56766</v>
      </c>
      <c r="F387" s="12"/>
      <c r="G387" s="15">
        <f t="shared" si="141"/>
        <v>0</v>
      </c>
      <c r="H387" s="15">
        <f t="shared" si="142"/>
        <v>0</v>
      </c>
      <c r="I387" s="15"/>
      <c r="J387" s="16">
        <f t="shared" si="143"/>
        <v>0</v>
      </c>
      <c r="K387" s="16">
        <f t="shared" si="144"/>
        <v>0</v>
      </c>
      <c r="L387">
        <f t="shared" si="145"/>
        <v>0</v>
      </c>
      <c r="M387">
        <f t="shared" si="146"/>
        <v>0</v>
      </c>
      <c r="N387" s="16">
        <f t="shared" si="147"/>
        <v>0</v>
      </c>
      <c r="O387" s="16"/>
      <c r="P387" s="17">
        <f t="shared" si="148"/>
        <v>0</v>
      </c>
      <c r="Q387">
        <f>Q386/(1+Assumptions!$E$8/12)</f>
        <v>0.28105297772433446</v>
      </c>
      <c r="S387" s="17">
        <f t="shared" si="149"/>
        <v>0</v>
      </c>
      <c r="T387" s="17">
        <f>T386*(1+$K$24)*Z387</f>
        <v>0</v>
      </c>
      <c r="U387" s="17">
        <f t="shared" si="150"/>
        <v>0</v>
      </c>
      <c r="V387" s="17">
        <f t="shared" si="151"/>
        <v>0</v>
      </c>
      <c r="W387" s="17">
        <f t="shared" si="152"/>
        <v>0</v>
      </c>
      <c r="Y387">
        <f>(MONTH(E387)=MONTH(Assumptions!$E$6))*(YEAR(Assumptions!$E$6)=YEAR('Rent v Mortgage'!E387))</f>
        <v>0</v>
      </c>
      <c r="Z387">
        <f>--(SUM($Y$28:Y386)&lt;1)*AA387</f>
        <v>0</v>
      </c>
      <c r="AA387">
        <f t="shared" si="153"/>
        <v>1</v>
      </c>
      <c r="AB387" s="20"/>
      <c r="AC387">
        <f t="shared" si="154"/>
        <v>359</v>
      </c>
      <c r="AD387">
        <f t="shared" si="155"/>
        <v>2055</v>
      </c>
      <c r="AE387" s="12">
        <f t="shared" si="156"/>
        <v>56766</v>
      </c>
      <c r="AG387" s="19">
        <f t="shared" si="157"/>
        <v>0</v>
      </c>
      <c r="AH387" s="19">
        <f t="shared" si="158"/>
        <v>0</v>
      </c>
      <c r="AI387" s="19">
        <f t="shared" si="159"/>
        <v>0</v>
      </c>
      <c r="AK387" s="19">
        <f t="shared" si="160"/>
        <v>0</v>
      </c>
      <c r="AL387" s="19">
        <f ca="1">(IF(MOD(AC387,($AE$15*12)),0,$AG387-IFERROR(SUM(OFFSET(AL386,,,-$AE$15*12)),0))-SUM($AL$28:AL386)*(Z388=0))*(Z387=1)</f>
        <v>0</v>
      </c>
      <c r="AM387" s="19">
        <f t="shared" si="161"/>
        <v>0</v>
      </c>
      <c r="AN387" s="19">
        <f t="shared" si="162"/>
        <v>0</v>
      </c>
      <c r="AP387" s="19">
        <f t="shared" ca="1" si="136"/>
        <v>0</v>
      </c>
      <c r="AQ387" s="18">
        <f t="shared" si="137"/>
        <v>0.28105297772433446</v>
      </c>
    </row>
    <row r="388" spans="3:43" x14ac:dyDescent="0.25">
      <c r="C388">
        <f t="shared" si="138"/>
        <v>360</v>
      </c>
      <c r="D388">
        <f t="shared" si="139"/>
        <v>30</v>
      </c>
      <c r="E388" s="12">
        <f t="shared" si="140"/>
        <v>56796</v>
      </c>
      <c r="F388" s="12"/>
      <c r="G388" s="15">
        <f t="shared" si="141"/>
        <v>0</v>
      </c>
      <c r="H388" s="15">
        <f t="shared" si="142"/>
        <v>0</v>
      </c>
      <c r="I388" s="15"/>
      <c r="J388" s="16">
        <f t="shared" si="143"/>
        <v>0</v>
      </c>
      <c r="K388" s="16">
        <f t="shared" si="144"/>
        <v>0</v>
      </c>
      <c r="L388">
        <f t="shared" si="145"/>
        <v>0</v>
      </c>
      <c r="M388">
        <f t="shared" si="146"/>
        <v>0</v>
      </c>
      <c r="N388" s="16">
        <f t="shared" si="147"/>
        <v>0</v>
      </c>
      <c r="O388" s="16"/>
      <c r="P388" s="17">
        <f t="shared" si="148"/>
        <v>0</v>
      </c>
      <c r="Q388">
        <f>Q387/(1+Assumptions!$E$8/12)</f>
        <v>0.28006109468067369</v>
      </c>
      <c r="S388" s="17">
        <f t="shared" si="149"/>
        <v>0</v>
      </c>
      <c r="T388" s="17">
        <f>T387*(1+$K$24)*Z388</f>
        <v>0</v>
      </c>
      <c r="U388" s="17">
        <f t="shared" si="150"/>
        <v>0</v>
      </c>
      <c r="V388" s="17">
        <f t="shared" si="151"/>
        <v>0</v>
      </c>
      <c r="W388" s="17">
        <f t="shared" si="152"/>
        <v>0</v>
      </c>
      <c r="Y388">
        <f>(MONTH(E388)=MONTH(Assumptions!$E$6))*(YEAR(Assumptions!$E$6)=YEAR('Rent v Mortgage'!E388))</f>
        <v>0</v>
      </c>
      <c r="Z388">
        <f>--(SUM($Y$28:Y387)&lt;1)*AA388</f>
        <v>0</v>
      </c>
      <c r="AA388">
        <f t="shared" si="153"/>
        <v>1</v>
      </c>
      <c r="AB388" s="20"/>
      <c r="AC388">
        <f t="shared" si="154"/>
        <v>360</v>
      </c>
      <c r="AD388">
        <f t="shared" si="155"/>
        <v>2055</v>
      </c>
      <c r="AE388" s="12">
        <f t="shared" si="156"/>
        <v>56796</v>
      </c>
      <c r="AG388" s="19">
        <f t="shared" si="157"/>
        <v>0</v>
      </c>
      <c r="AH388" s="19">
        <f t="shared" si="158"/>
        <v>0</v>
      </c>
      <c r="AI388" s="19">
        <f t="shared" si="159"/>
        <v>0</v>
      </c>
      <c r="AK388" s="19">
        <f t="shared" si="160"/>
        <v>0</v>
      </c>
      <c r="AL388" s="19">
        <f ca="1">(IF(MOD(AC388,($AE$15*12)),0,$AG388-IFERROR(SUM(OFFSET(AL387,,,-$AE$15*12)),0))-SUM($AL$28:AL387)*(Z389=0))*(Z388=1)</f>
        <v>0</v>
      </c>
      <c r="AM388" s="19">
        <f t="shared" si="161"/>
        <v>0</v>
      </c>
      <c r="AN388" s="19">
        <f t="shared" si="162"/>
        <v>0</v>
      </c>
      <c r="AP388" s="19">
        <f t="shared" ca="1" si="136"/>
        <v>0</v>
      </c>
      <c r="AQ388" s="18">
        <f t="shared" si="137"/>
        <v>0.28006109468067369</v>
      </c>
    </row>
    <row r="389" spans="3:43" x14ac:dyDescent="0.25">
      <c r="E389" s="12"/>
      <c r="F389" s="12"/>
      <c r="G389" s="15"/>
      <c r="H389" s="15"/>
      <c r="I389" s="15"/>
      <c r="J389" s="16"/>
      <c r="K389" s="16"/>
      <c r="N389" s="16"/>
      <c r="O389" s="16"/>
      <c r="P389" s="17"/>
      <c r="S389" s="17"/>
      <c r="T389" s="17"/>
      <c r="U389" s="17"/>
      <c r="V389" s="17"/>
      <c r="W389" s="17"/>
    </row>
    <row r="390" spans="3:43" x14ac:dyDescent="0.25">
      <c r="E390" s="12"/>
      <c r="F390" s="12"/>
      <c r="G390" s="15"/>
      <c r="H390" s="15"/>
      <c r="I390" s="15"/>
      <c r="J390" s="16"/>
      <c r="K390" s="16"/>
      <c r="N390" s="16"/>
      <c r="O390" s="16"/>
      <c r="P390" s="17"/>
      <c r="S390" s="17"/>
      <c r="T390" s="17"/>
      <c r="U390" s="17"/>
      <c r="V390" s="17"/>
      <c r="W390" s="17"/>
    </row>
    <row r="391" spans="3:43" x14ac:dyDescent="0.25">
      <c r="E391" s="12"/>
      <c r="F391" s="12"/>
      <c r="G391" s="15"/>
      <c r="H391" s="15"/>
      <c r="I391" s="15"/>
      <c r="J391" s="16"/>
      <c r="K391" s="16"/>
      <c r="N391" s="16"/>
      <c r="O391" s="16"/>
      <c r="P391" s="17"/>
      <c r="S391" s="17"/>
      <c r="T391" s="17"/>
      <c r="U391" s="17"/>
      <c r="V391" s="17"/>
      <c r="W391" s="17"/>
    </row>
    <row r="392" spans="3:43" x14ac:dyDescent="0.25">
      <c r="E392" s="12"/>
      <c r="F392" s="12"/>
      <c r="G392" s="15"/>
      <c r="H392" s="15"/>
      <c r="I392" s="15"/>
      <c r="J392" s="16"/>
      <c r="K392" s="16"/>
      <c r="N392" s="16"/>
      <c r="O392" s="16"/>
      <c r="P392" s="17"/>
      <c r="S392" s="17"/>
      <c r="T392" s="17"/>
      <c r="U392" s="17"/>
      <c r="V392" s="17"/>
      <c r="W392" s="17"/>
    </row>
    <row r="393" spans="3:43" x14ac:dyDescent="0.25">
      <c r="E393" s="12"/>
      <c r="F393" s="12"/>
      <c r="G393" s="15"/>
      <c r="H393" s="15"/>
      <c r="I393" s="15"/>
      <c r="J393" s="16"/>
      <c r="K393" s="16"/>
      <c r="N393" s="16"/>
      <c r="O393" s="16"/>
      <c r="P393" s="17"/>
      <c r="S393" s="17"/>
      <c r="T393" s="17"/>
      <c r="U393" s="17"/>
      <c r="V393" s="17"/>
      <c r="W393" s="17"/>
    </row>
    <row r="394" spans="3:43" x14ac:dyDescent="0.25">
      <c r="E394" s="12"/>
      <c r="F394" s="12"/>
      <c r="G394" s="15"/>
      <c r="H394" s="15"/>
      <c r="I394" s="15"/>
      <c r="J394" s="16"/>
      <c r="K394" s="16"/>
      <c r="N394" s="16"/>
      <c r="O394" s="16"/>
      <c r="P394" s="17"/>
      <c r="S394" s="17"/>
      <c r="T394" s="17"/>
      <c r="U394" s="17"/>
      <c r="V394" s="17"/>
      <c r="W394" s="17"/>
    </row>
    <row r="395" spans="3:43" x14ac:dyDescent="0.25">
      <c r="E395" s="12"/>
      <c r="F395" s="12"/>
      <c r="G395" s="15"/>
      <c r="H395" s="15"/>
      <c r="I395" s="15"/>
      <c r="J395" s="16"/>
      <c r="K395" s="16"/>
      <c r="N395" s="16"/>
      <c r="O395" s="16"/>
      <c r="P395" s="17"/>
      <c r="S395" s="17"/>
      <c r="T395" s="17"/>
      <c r="U395" s="17"/>
      <c r="V395" s="17"/>
      <c r="W395" s="17"/>
    </row>
    <row r="396" spans="3:43" x14ac:dyDescent="0.25">
      <c r="E396" s="12"/>
      <c r="F396" s="12"/>
      <c r="G396" s="15"/>
      <c r="H396" s="15"/>
      <c r="I396" s="15"/>
      <c r="J396" s="16"/>
      <c r="K396" s="16"/>
      <c r="N396" s="16"/>
      <c r="O396" s="16"/>
      <c r="P396" s="17"/>
      <c r="S396" s="17"/>
      <c r="T396" s="17"/>
      <c r="U396" s="17"/>
      <c r="V396" s="17"/>
      <c r="W396" s="17"/>
    </row>
    <row r="397" spans="3:43" x14ac:dyDescent="0.25">
      <c r="E397" s="12"/>
      <c r="F397" s="12"/>
      <c r="G397" s="15"/>
      <c r="H397" s="15"/>
      <c r="I397" s="15"/>
      <c r="J397" s="16"/>
      <c r="K397" s="16"/>
      <c r="N397" s="16"/>
      <c r="O397" s="16"/>
      <c r="P397" s="17"/>
      <c r="S397" s="17"/>
      <c r="T397" s="17"/>
      <c r="U397" s="17"/>
      <c r="V397" s="17"/>
      <c r="W397" s="17"/>
    </row>
  </sheetData>
  <dataValidations count="1">
    <dataValidation type="list" allowBlank="1" showInputMessage="1" showErrorMessage="1" sqref="H7" xr:uid="{AE9CF56E-047D-4050-A8D7-7299F380117B}">
      <formula1>Tenor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07CB7-C860-4860-8219-4A27C023AFA3}">
  <sheetPr codeName="Sheet3"/>
  <dimension ref="B1:BG20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5" sqref="C5"/>
    </sheetView>
  </sheetViews>
  <sheetFormatPr defaultRowHeight="15" x14ac:dyDescent="0.25"/>
  <cols>
    <col min="1" max="2" width="2.7109375" customWidth="1"/>
    <col min="3" max="3" width="25.7109375" bestFit="1" customWidth="1"/>
    <col min="5" max="5" width="14.42578125" bestFit="1" customWidth="1"/>
    <col min="6" max="13" width="12.5703125" bestFit="1" customWidth="1"/>
    <col min="15" max="18" width="12.5703125" bestFit="1" customWidth="1"/>
    <col min="20" max="20" width="12.7109375" bestFit="1" customWidth="1"/>
    <col min="21" max="28" width="12.5703125" bestFit="1" customWidth="1"/>
    <col min="30" max="30" width="14.5703125" bestFit="1" customWidth="1"/>
    <col min="31" max="32" width="12.5703125" bestFit="1" customWidth="1"/>
    <col min="34" max="34" width="20.140625" bestFit="1" customWidth="1"/>
    <col min="35" max="41" width="12.5703125" bestFit="1" customWidth="1"/>
    <col min="43" max="45" width="12.5703125" bestFit="1" customWidth="1"/>
    <col min="46" max="46" width="7" bestFit="1" customWidth="1"/>
    <col min="47" max="53" width="12.5703125" bestFit="1" customWidth="1"/>
    <col min="55" max="55" width="13.5703125" bestFit="1" customWidth="1"/>
    <col min="56" max="59" width="12.5703125" bestFit="1" customWidth="1"/>
  </cols>
  <sheetData>
    <row r="1" spans="2:59" x14ac:dyDescent="0.25">
      <c r="C1" t="s">
        <v>88</v>
      </c>
    </row>
    <row r="2" spans="2:59" x14ac:dyDescent="0.25"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O2">
        <v>1</v>
      </c>
      <c r="P2">
        <v>1</v>
      </c>
      <c r="Q2">
        <v>1</v>
      </c>
      <c r="R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D2">
        <v>1</v>
      </c>
      <c r="AE2">
        <v>1</v>
      </c>
      <c r="AF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Q2">
        <v>1</v>
      </c>
      <c r="AR2">
        <v>1</v>
      </c>
      <c r="AS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C2">
        <v>1</v>
      </c>
      <c r="BD2">
        <v>1</v>
      </c>
      <c r="BE2">
        <v>1</v>
      </c>
      <c r="BF2">
        <v>1</v>
      </c>
      <c r="BG2">
        <v>1</v>
      </c>
    </row>
    <row r="3" spans="2:59" s="1" customFormat="1" x14ac:dyDescent="0.25">
      <c r="C3" s="1" t="s">
        <v>82</v>
      </c>
      <c r="E3" s="29" t="s">
        <v>23</v>
      </c>
      <c r="F3" s="29"/>
      <c r="G3" s="29"/>
      <c r="H3" s="29"/>
      <c r="I3" s="29"/>
      <c r="J3" s="29"/>
      <c r="K3" s="29"/>
      <c r="L3" s="29"/>
      <c r="M3" s="29"/>
      <c r="N3" s="24"/>
      <c r="O3" s="33" t="s">
        <v>83</v>
      </c>
      <c r="P3" s="33"/>
      <c r="Q3" s="33"/>
      <c r="R3" s="33"/>
      <c r="T3" s="34" t="s">
        <v>44</v>
      </c>
      <c r="U3" s="34"/>
      <c r="V3" s="34"/>
      <c r="W3" s="34"/>
      <c r="X3" s="34"/>
      <c r="Y3" s="34"/>
      <c r="Z3" s="34"/>
      <c r="AA3" s="34"/>
      <c r="AB3" s="34"/>
      <c r="AC3" s="24"/>
      <c r="AD3" s="35" t="s">
        <v>45</v>
      </c>
      <c r="AE3" s="36"/>
      <c r="AF3" s="36"/>
      <c r="AH3" s="30" t="s">
        <v>26</v>
      </c>
      <c r="AI3" s="30"/>
      <c r="AJ3" s="30"/>
      <c r="AK3" s="30"/>
      <c r="AL3" s="30"/>
      <c r="AM3" s="30"/>
      <c r="AN3" s="30"/>
      <c r="AO3" s="30"/>
      <c r="AQ3" s="32" t="s">
        <v>21</v>
      </c>
      <c r="AR3" s="32"/>
      <c r="AS3" s="32"/>
      <c r="AU3" s="31" t="s">
        <v>2</v>
      </c>
      <c r="AV3" s="31"/>
      <c r="AW3" s="31"/>
      <c r="AX3" s="31"/>
      <c r="AY3" s="31"/>
      <c r="AZ3" s="31"/>
      <c r="BA3" s="31"/>
      <c r="BC3" s="37" t="s">
        <v>74</v>
      </c>
      <c r="BD3" s="37"/>
      <c r="BE3" s="37"/>
      <c r="BF3" s="37"/>
      <c r="BG3" s="37"/>
    </row>
    <row r="4" spans="2:59" x14ac:dyDescent="0.25">
      <c r="B4" t="s">
        <v>1</v>
      </c>
    </row>
    <row r="5" spans="2:59" x14ac:dyDescent="0.25">
      <c r="C5" t="s">
        <v>23</v>
      </c>
      <c r="E5">
        <v>400000</v>
      </c>
      <c r="F5">
        <f>E5+25000</f>
        <v>425000</v>
      </c>
      <c r="G5">
        <f t="shared" ref="G5:M5" si="0">F5+25000</f>
        <v>450000</v>
      </c>
      <c r="H5">
        <f t="shared" si="0"/>
        <v>475000</v>
      </c>
      <c r="I5">
        <f t="shared" si="0"/>
        <v>500000</v>
      </c>
      <c r="J5">
        <f t="shared" si="0"/>
        <v>525000</v>
      </c>
      <c r="K5">
        <f t="shared" si="0"/>
        <v>550000</v>
      </c>
      <c r="L5">
        <f t="shared" si="0"/>
        <v>575000</v>
      </c>
      <c r="M5">
        <f t="shared" si="0"/>
        <v>600000</v>
      </c>
      <c r="O5">
        <v>525000</v>
      </c>
      <c r="P5">
        <v>525000</v>
      </c>
      <c r="Q5">
        <v>525000</v>
      </c>
      <c r="R5">
        <v>525000</v>
      </c>
      <c r="T5">
        <v>525000</v>
      </c>
      <c r="U5">
        <v>525000</v>
      </c>
      <c r="V5">
        <v>525000</v>
      </c>
      <c r="W5">
        <v>525000</v>
      </c>
      <c r="X5">
        <v>525000</v>
      </c>
      <c r="Y5">
        <v>525000</v>
      </c>
      <c r="Z5">
        <v>525000</v>
      </c>
      <c r="AA5">
        <v>525000</v>
      </c>
      <c r="AB5">
        <v>525000</v>
      </c>
      <c r="AD5">
        <v>525000</v>
      </c>
      <c r="AE5">
        <v>525000</v>
      </c>
      <c r="AF5">
        <v>525000</v>
      </c>
      <c r="AH5">
        <v>525000</v>
      </c>
      <c r="AI5">
        <v>525000</v>
      </c>
      <c r="AJ5">
        <v>525000</v>
      </c>
      <c r="AK5">
        <v>525000</v>
      </c>
      <c r="AL5">
        <v>525000</v>
      </c>
      <c r="AM5">
        <v>525000</v>
      </c>
      <c r="AN5">
        <v>525000</v>
      </c>
      <c r="AO5">
        <v>525000</v>
      </c>
      <c r="AQ5">
        <v>525000</v>
      </c>
      <c r="AR5">
        <v>525000</v>
      </c>
      <c r="AS5">
        <v>525000</v>
      </c>
      <c r="AU5">
        <v>525000</v>
      </c>
      <c r="AV5">
        <v>525000</v>
      </c>
      <c r="AW5">
        <v>525000</v>
      </c>
      <c r="AX5">
        <v>525000</v>
      </c>
      <c r="AY5">
        <v>525000</v>
      </c>
      <c r="AZ5">
        <v>525000</v>
      </c>
      <c r="BA5">
        <v>525000</v>
      </c>
      <c r="BC5">
        <v>525000</v>
      </c>
      <c r="BD5">
        <v>525000</v>
      </c>
      <c r="BE5">
        <v>525000</v>
      </c>
      <c r="BF5">
        <v>525000</v>
      </c>
      <c r="BG5">
        <v>525000</v>
      </c>
    </row>
    <row r="6" spans="2:59" x14ac:dyDescent="0.25">
      <c r="C6" t="s">
        <v>83</v>
      </c>
      <c r="E6">
        <v>30</v>
      </c>
      <c r="F6">
        <v>30</v>
      </c>
      <c r="G6">
        <v>30</v>
      </c>
      <c r="H6">
        <v>30</v>
      </c>
      <c r="I6">
        <v>30</v>
      </c>
      <c r="J6">
        <v>30</v>
      </c>
      <c r="K6">
        <v>30</v>
      </c>
      <c r="L6">
        <v>30</v>
      </c>
      <c r="M6">
        <v>30</v>
      </c>
      <c r="O6">
        <v>30</v>
      </c>
      <c r="P6">
        <v>20</v>
      </c>
      <c r="Q6">
        <v>15</v>
      </c>
      <c r="R6">
        <v>10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30</v>
      </c>
      <c r="AB6">
        <v>30</v>
      </c>
      <c r="AD6">
        <v>30</v>
      </c>
      <c r="AE6">
        <v>30</v>
      </c>
      <c r="AF6">
        <v>30</v>
      </c>
      <c r="AH6">
        <v>30</v>
      </c>
      <c r="AI6">
        <v>30</v>
      </c>
      <c r="AJ6">
        <v>30</v>
      </c>
      <c r="AK6">
        <v>30</v>
      </c>
      <c r="AL6">
        <v>30</v>
      </c>
      <c r="AM6">
        <v>30</v>
      </c>
      <c r="AN6">
        <v>30</v>
      </c>
      <c r="AO6">
        <v>30</v>
      </c>
      <c r="AQ6">
        <v>30</v>
      </c>
      <c r="AR6">
        <v>30</v>
      </c>
      <c r="AS6">
        <v>30</v>
      </c>
      <c r="AU6">
        <v>30</v>
      </c>
      <c r="AV6">
        <v>30</v>
      </c>
      <c r="AW6">
        <v>30</v>
      </c>
      <c r="AX6">
        <v>30</v>
      </c>
      <c r="AY6">
        <v>30</v>
      </c>
      <c r="AZ6">
        <v>30</v>
      </c>
      <c r="BA6">
        <v>30</v>
      </c>
      <c r="BC6">
        <v>30</v>
      </c>
      <c r="BD6">
        <v>30</v>
      </c>
      <c r="BE6">
        <v>30</v>
      </c>
      <c r="BF6">
        <v>30</v>
      </c>
      <c r="BG6">
        <v>30</v>
      </c>
    </row>
    <row r="7" spans="2:59" x14ac:dyDescent="0.25">
      <c r="C7" t="s">
        <v>44</v>
      </c>
      <c r="E7" s="3">
        <v>7.0000000000000007E-2</v>
      </c>
      <c r="F7" s="3">
        <v>7.0000000000000007E-2</v>
      </c>
      <c r="G7" s="3">
        <v>7.0000000000000007E-2</v>
      </c>
      <c r="H7" s="3">
        <v>7.0000000000000007E-2</v>
      </c>
      <c r="I7" s="3">
        <v>7.0000000000000007E-2</v>
      </c>
      <c r="J7" s="3">
        <v>7.0000000000000007E-2</v>
      </c>
      <c r="K7" s="3">
        <v>7.0000000000000007E-2</v>
      </c>
      <c r="L7" s="3">
        <v>7.0000000000000007E-2</v>
      </c>
      <c r="M7" s="3">
        <v>7.0000000000000007E-2</v>
      </c>
      <c r="O7">
        <v>7.0000000000000007E-2</v>
      </c>
      <c r="P7">
        <v>7.0000000000000007E-2</v>
      </c>
      <c r="Q7">
        <v>7.0000000000000007E-2</v>
      </c>
      <c r="R7">
        <v>7.0000000000000007E-2</v>
      </c>
      <c r="T7">
        <v>0.04</v>
      </c>
      <c r="U7">
        <f>T7+0.005</f>
        <v>4.4999999999999998E-2</v>
      </c>
      <c r="V7">
        <f t="shared" ref="V7:AB7" si="1">U7+0.005</f>
        <v>4.9999999999999996E-2</v>
      </c>
      <c r="W7">
        <f t="shared" si="1"/>
        <v>5.4999999999999993E-2</v>
      </c>
      <c r="X7">
        <f t="shared" si="1"/>
        <v>5.9999999999999991E-2</v>
      </c>
      <c r="Y7">
        <f t="shared" si="1"/>
        <v>6.4999999999999988E-2</v>
      </c>
      <c r="Z7">
        <f t="shared" si="1"/>
        <v>6.9999999999999993E-2</v>
      </c>
      <c r="AA7">
        <f t="shared" si="1"/>
        <v>7.4999999999999997E-2</v>
      </c>
      <c r="AB7">
        <f t="shared" si="1"/>
        <v>0.08</v>
      </c>
      <c r="AD7">
        <v>7.0000000000000007E-2</v>
      </c>
      <c r="AE7">
        <v>7.0000000000000007E-2</v>
      </c>
      <c r="AF7">
        <v>7.0000000000000007E-2</v>
      </c>
      <c r="AH7">
        <v>7.0000000000000007E-2</v>
      </c>
      <c r="AI7">
        <v>7.0000000000000007E-2</v>
      </c>
      <c r="AJ7">
        <v>7.0000000000000007E-2</v>
      </c>
      <c r="AK7">
        <v>7.0000000000000007E-2</v>
      </c>
      <c r="AL7">
        <v>7.0000000000000007E-2</v>
      </c>
      <c r="AM7">
        <v>7.0000000000000007E-2</v>
      </c>
      <c r="AN7">
        <v>7.0000000000000007E-2</v>
      </c>
      <c r="AO7">
        <v>7.0000000000000007E-2</v>
      </c>
      <c r="AQ7">
        <v>7.0000000000000007E-2</v>
      </c>
      <c r="AR7">
        <v>7.0000000000000007E-2</v>
      </c>
      <c r="AS7">
        <v>7.0000000000000007E-2</v>
      </c>
      <c r="AU7">
        <v>7.0000000000000007E-2</v>
      </c>
      <c r="AV7">
        <v>7.0000000000000007E-2</v>
      </c>
      <c r="AW7">
        <v>7.0000000000000007E-2</v>
      </c>
      <c r="AX7">
        <v>7.0000000000000007E-2</v>
      </c>
      <c r="AY7">
        <v>7.0000000000000007E-2</v>
      </c>
      <c r="AZ7">
        <v>7.0000000000000007E-2</v>
      </c>
      <c r="BA7">
        <v>7.0000000000000007E-2</v>
      </c>
      <c r="BC7">
        <v>7.0000000000000007E-2</v>
      </c>
      <c r="BD7">
        <v>7.0000000000000007E-2</v>
      </c>
      <c r="BE7">
        <v>7.0000000000000007E-2</v>
      </c>
      <c r="BF7">
        <v>7.0000000000000007E-2</v>
      </c>
      <c r="BG7">
        <v>7.0000000000000007E-2</v>
      </c>
    </row>
    <row r="8" spans="2:59" x14ac:dyDescent="0.25">
      <c r="C8" t="s">
        <v>45</v>
      </c>
      <c r="E8" s="38">
        <v>0.2</v>
      </c>
      <c r="F8" s="38">
        <v>0.2</v>
      </c>
      <c r="G8" s="38">
        <v>0.2</v>
      </c>
      <c r="H8" s="38">
        <v>0.2</v>
      </c>
      <c r="I8" s="38">
        <v>0.2</v>
      </c>
      <c r="J8" s="38">
        <v>0.2</v>
      </c>
      <c r="K8" s="38">
        <v>0.2</v>
      </c>
      <c r="L8" s="38">
        <v>0.2</v>
      </c>
      <c r="M8" s="38">
        <v>0.2</v>
      </c>
      <c r="O8">
        <v>0.2</v>
      </c>
      <c r="P8">
        <v>0.2</v>
      </c>
      <c r="Q8">
        <v>0.2</v>
      </c>
      <c r="R8">
        <v>0.2</v>
      </c>
      <c r="T8">
        <v>0.2</v>
      </c>
      <c r="U8">
        <v>0.2</v>
      </c>
      <c r="V8">
        <v>0.2</v>
      </c>
      <c r="W8">
        <v>0.2</v>
      </c>
      <c r="X8">
        <v>0.2</v>
      </c>
      <c r="Y8">
        <v>0.2</v>
      </c>
      <c r="Z8">
        <v>0.2</v>
      </c>
      <c r="AA8">
        <v>0.2</v>
      </c>
      <c r="AB8">
        <v>0.2</v>
      </c>
      <c r="AD8">
        <v>0.2</v>
      </c>
      <c r="AE8">
        <v>0.1</v>
      </c>
      <c r="AF8">
        <v>0.05</v>
      </c>
      <c r="AH8">
        <v>0.2</v>
      </c>
      <c r="AI8">
        <v>0.2</v>
      </c>
      <c r="AJ8">
        <v>0.2</v>
      </c>
      <c r="AK8">
        <v>0.2</v>
      </c>
      <c r="AL8">
        <v>0.2</v>
      </c>
      <c r="AM8">
        <v>0.2</v>
      </c>
      <c r="AN8">
        <v>0.2</v>
      </c>
      <c r="AO8">
        <v>0.2</v>
      </c>
      <c r="AQ8">
        <v>0.2</v>
      </c>
      <c r="AR8">
        <v>0.2</v>
      </c>
      <c r="AS8">
        <v>0.2</v>
      </c>
      <c r="AU8">
        <v>0.2</v>
      </c>
      <c r="AV8">
        <v>0.2</v>
      </c>
      <c r="AW8">
        <v>0.2</v>
      </c>
      <c r="AX8">
        <v>0.2</v>
      </c>
      <c r="AY8">
        <v>0.2</v>
      </c>
      <c r="AZ8">
        <v>0.2</v>
      </c>
      <c r="BA8">
        <v>0.2</v>
      </c>
      <c r="BC8">
        <v>0.2</v>
      </c>
      <c r="BD8">
        <v>0.2</v>
      </c>
      <c r="BE8">
        <v>0.2</v>
      </c>
      <c r="BF8">
        <v>0.2</v>
      </c>
      <c r="BG8">
        <v>0.2</v>
      </c>
    </row>
    <row r="9" spans="2:59" x14ac:dyDescent="0.25">
      <c r="C9" t="s">
        <v>26</v>
      </c>
      <c r="E9" s="38">
        <v>0.02</v>
      </c>
      <c r="F9" s="38">
        <v>0.02</v>
      </c>
      <c r="G9" s="38">
        <v>0.02</v>
      </c>
      <c r="H9" s="38">
        <v>0.02</v>
      </c>
      <c r="I9" s="38">
        <v>0.02</v>
      </c>
      <c r="J9" s="38">
        <v>0.02</v>
      </c>
      <c r="K9" s="38">
        <v>0.02</v>
      </c>
      <c r="L9" s="38">
        <v>0.02</v>
      </c>
      <c r="M9" s="38">
        <v>0.02</v>
      </c>
      <c r="O9">
        <v>0.02</v>
      </c>
      <c r="P9">
        <v>0.02</v>
      </c>
      <c r="Q9">
        <v>0.02</v>
      </c>
      <c r="R9">
        <v>0.02</v>
      </c>
      <c r="T9">
        <v>0.02</v>
      </c>
      <c r="U9">
        <v>0.02</v>
      </c>
      <c r="V9">
        <v>0.02</v>
      </c>
      <c r="W9">
        <v>0.02</v>
      </c>
      <c r="X9">
        <v>0.02</v>
      </c>
      <c r="Y9">
        <v>0.02</v>
      </c>
      <c r="Z9">
        <v>0.02</v>
      </c>
      <c r="AA9">
        <v>0.02</v>
      </c>
      <c r="AB9">
        <v>0.02</v>
      </c>
      <c r="AD9">
        <v>0.02</v>
      </c>
      <c r="AE9">
        <v>0.02</v>
      </c>
      <c r="AF9">
        <v>0.02</v>
      </c>
      <c r="AH9">
        <v>0.02</v>
      </c>
      <c r="AI9">
        <f>AH9+0.004</f>
        <v>2.4E-2</v>
      </c>
      <c r="AJ9">
        <f t="shared" ref="AJ9:AO9" si="2">AI9+0.004</f>
        <v>2.8000000000000001E-2</v>
      </c>
      <c r="AK9">
        <f t="shared" si="2"/>
        <v>3.2000000000000001E-2</v>
      </c>
      <c r="AL9">
        <f t="shared" si="2"/>
        <v>3.6000000000000004E-2</v>
      </c>
      <c r="AM9">
        <f t="shared" si="2"/>
        <v>4.0000000000000008E-2</v>
      </c>
      <c r="AN9">
        <f t="shared" si="2"/>
        <v>4.4000000000000011E-2</v>
      </c>
      <c r="AO9">
        <f t="shared" si="2"/>
        <v>4.8000000000000015E-2</v>
      </c>
      <c r="AQ9">
        <v>0.02</v>
      </c>
      <c r="AR9">
        <v>0.02</v>
      </c>
      <c r="AS9">
        <v>0.02</v>
      </c>
      <c r="AU9">
        <v>0.02</v>
      </c>
      <c r="AV9">
        <v>0.02</v>
      </c>
      <c r="AW9">
        <v>0.02</v>
      </c>
      <c r="AX9">
        <v>0.02</v>
      </c>
      <c r="AY9">
        <v>0.02</v>
      </c>
      <c r="AZ9">
        <v>0.02</v>
      </c>
      <c r="BA9">
        <v>0.02</v>
      </c>
      <c r="BC9">
        <v>0.02</v>
      </c>
      <c r="BD9">
        <v>0.02</v>
      </c>
      <c r="BE9">
        <v>0.02</v>
      </c>
      <c r="BF9">
        <v>0.02</v>
      </c>
      <c r="BG9">
        <v>0.02</v>
      </c>
    </row>
    <row r="10" spans="2:59" x14ac:dyDescent="0.25">
      <c r="C10" t="s">
        <v>21</v>
      </c>
      <c r="E10">
        <v>520</v>
      </c>
      <c r="F10">
        <v>520</v>
      </c>
      <c r="G10">
        <v>520</v>
      </c>
      <c r="H10">
        <v>520</v>
      </c>
      <c r="I10">
        <v>520</v>
      </c>
      <c r="J10">
        <v>520</v>
      </c>
      <c r="K10">
        <v>520</v>
      </c>
      <c r="L10">
        <v>520</v>
      </c>
      <c r="M10">
        <v>520</v>
      </c>
      <c r="O10">
        <v>520</v>
      </c>
      <c r="P10">
        <v>520</v>
      </c>
      <c r="Q10">
        <v>520</v>
      </c>
      <c r="R10">
        <v>520</v>
      </c>
      <c r="T10">
        <v>520</v>
      </c>
      <c r="U10">
        <v>520</v>
      </c>
      <c r="V10">
        <v>520</v>
      </c>
      <c r="W10">
        <v>520</v>
      </c>
      <c r="X10">
        <v>520</v>
      </c>
      <c r="Y10">
        <v>520</v>
      </c>
      <c r="Z10">
        <v>520</v>
      </c>
      <c r="AA10">
        <v>520</v>
      </c>
      <c r="AB10">
        <v>520</v>
      </c>
      <c r="AD10">
        <v>520</v>
      </c>
      <c r="AE10">
        <v>520</v>
      </c>
      <c r="AF10">
        <v>520</v>
      </c>
      <c r="AH10">
        <v>520</v>
      </c>
      <c r="AI10">
        <v>520</v>
      </c>
      <c r="AJ10">
        <v>520</v>
      </c>
      <c r="AK10">
        <v>520</v>
      </c>
      <c r="AL10">
        <v>520</v>
      </c>
      <c r="AM10">
        <v>520</v>
      </c>
      <c r="AN10">
        <v>520</v>
      </c>
      <c r="AO10">
        <v>520</v>
      </c>
      <c r="AQ10">
        <v>520</v>
      </c>
      <c r="AR10">
        <v>750</v>
      </c>
      <c r="AS10">
        <v>900</v>
      </c>
      <c r="AU10">
        <v>520</v>
      </c>
      <c r="AV10">
        <v>520</v>
      </c>
      <c r="AW10">
        <v>520</v>
      </c>
      <c r="AX10">
        <v>520</v>
      </c>
      <c r="AY10">
        <v>520</v>
      </c>
      <c r="AZ10">
        <v>520</v>
      </c>
      <c r="BA10">
        <v>520</v>
      </c>
      <c r="BC10">
        <v>520</v>
      </c>
      <c r="BD10">
        <v>520</v>
      </c>
      <c r="BE10">
        <v>520</v>
      </c>
      <c r="BF10">
        <v>520</v>
      </c>
      <c r="BG10">
        <v>520</v>
      </c>
    </row>
    <row r="11" spans="2:59" x14ac:dyDescent="0.25">
      <c r="B11" t="s">
        <v>2</v>
      </c>
    </row>
    <row r="12" spans="2:59" x14ac:dyDescent="0.25">
      <c r="C12" t="s">
        <v>2</v>
      </c>
      <c r="E12">
        <v>3250</v>
      </c>
      <c r="F12">
        <v>3250</v>
      </c>
      <c r="G12">
        <v>3250</v>
      </c>
      <c r="H12">
        <v>3250</v>
      </c>
      <c r="I12">
        <v>3250</v>
      </c>
      <c r="J12">
        <v>3250</v>
      </c>
      <c r="K12">
        <v>3250</v>
      </c>
      <c r="L12">
        <v>3250</v>
      </c>
      <c r="M12">
        <v>3250</v>
      </c>
      <c r="O12">
        <v>3250</v>
      </c>
      <c r="P12">
        <v>3250</v>
      </c>
      <c r="Q12">
        <v>3250</v>
      </c>
      <c r="R12">
        <v>3250</v>
      </c>
      <c r="T12">
        <v>3250</v>
      </c>
      <c r="U12">
        <v>3250</v>
      </c>
      <c r="V12">
        <v>3250</v>
      </c>
      <c r="W12">
        <v>3250</v>
      </c>
      <c r="X12">
        <v>3250</v>
      </c>
      <c r="Y12">
        <v>3250</v>
      </c>
      <c r="Z12">
        <v>3250</v>
      </c>
      <c r="AA12">
        <v>3250</v>
      </c>
      <c r="AB12">
        <v>3250</v>
      </c>
      <c r="AD12">
        <v>3250</v>
      </c>
      <c r="AE12">
        <v>3250</v>
      </c>
      <c r="AF12">
        <v>3250</v>
      </c>
      <c r="AH12">
        <v>3250</v>
      </c>
      <c r="AI12">
        <v>3250</v>
      </c>
      <c r="AJ12">
        <v>3250</v>
      </c>
      <c r="AK12">
        <v>3250</v>
      </c>
      <c r="AL12">
        <v>3250</v>
      </c>
      <c r="AM12">
        <v>3250</v>
      </c>
      <c r="AN12">
        <v>3250</v>
      </c>
      <c r="AO12">
        <v>3250</v>
      </c>
      <c r="AQ12">
        <v>3250</v>
      </c>
      <c r="AR12">
        <v>3250</v>
      </c>
      <c r="AS12">
        <v>3250</v>
      </c>
      <c r="AU12">
        <v>2500</v>
      </c>
      <c r="AV12">
        <f>AU12+200</f>
        <v>2700</v>
      </c>
      <c r="AW12">
        <f t="shared" ref="AW12:BA12" si="3">AV12+200</f>
        <v>2900</v>
      </c>
      <c r="AX12">
        <f t="shared" si="3"/>
        <v>3100</v>
      </c>
      <c r="AY12">
        <f t="shared" si="3"/>
        <v>3300</v>
      </c>
      <c r="AZ12">
        <f t="shared" si="3"/>
        <v>3500</v>
      </c>
      <c r="BA12">
        <f t="shared" si="3"/>
        <v>3700</v>
      </c>
      <c r="BC12">
        <v>3250</v>
      </c>
      <c r="BD12">
        <v>3250</v>
      </c>
      <c r="BE12">
        <v>3250</v>
      </c>
      <c r="BF12">
        <v>3250</v>
      </c>
      <c r="BG12">
        <v>3250</v>
      </c>
    </row>
    <row r="13" spans="2:59" x14ac:dyDescent="0.25">
      <c r="C13" t="s">
        <v>74</v>
      </c>
      <c r="E13" s="3">
        <v>2.5000000000000001E-2</v>
      </c>
      <c r="F13" s="3">
        <v>2.5000000000000001E-2</v>
      </c>
      <c r="G13" s="3">
        <v>2.5000000000000001E-2</v>
      </c>
      <c r="H13" s="3">
        <v>2.5000000000000001E-2</v>
      </c>
      <c r="I13" s="3">
        <v>2.5000000000000001E-2</v>
      </c>
      <c r="J13" s="3">
        <v>2.5000000000000001E-2</v>
      </c>
      <c r="K13" s="3">
        <v>2.5000000000000001E-2</v>
      </c>
      <c r="L13" s="3">
        <v>2.5000000000000001E-2</v>
      </c>
      <c r="M13" s="3">
        <v>2.5000000000000001E-2</v>
      </c>
      <c r="O13">
        <v>2.5000000000000001E-2</v>
      </c>
      <c r="P13">
        <v>2.5000000000000001E-2</v>
      </c>
      <c r="Q13">
        <v>2.5000000000000001E-2</v>
      </c>
      <c r="R13">
        <v>2.5000000000000001E-2</v>
      </c>
      <c r="T13">
        <v>2.5000000000000001E-2</v>
      </c>
      <c r="U13">
        <v>2.5000000000000001E-2</v>
      </c>
      <c r="V13">
        <v>2.5000000000000001E-2</v>
      </c>
      <c r="W13">
        <v>2.5000000000000001E-2</v>
      </c>
      <c r="X13">
        <v>2.5000000000000001E-2</v>
      </c>
      <c r="Y13">
        <v>2.5000000000000001E-2</v>
      </c>
      <c r="Z13">
        <v>2.5000000000000001E-2</v>
      </c>
      <c r="AA13">
        <v>2.5000000000000001E-2</v>
      </c>
      <c r="AB13">
        <v>2.5000000000000001E-2</v>
      </c>
      <c r="AD13">
        <v>2.5000000000000001E-2</v>
      </c>
      <c r="AE13">
        <v>2.5000000000000001E-2</v>
      </c>
      <c r="AF13">
        <v>2.5000000000000001E-2</v>
      </c>
      <c r="AH13">
        <v>2.5000000000000001E-2</v>
      </c>
      <c r="AI13">
        <v>2.5000000000000001E-2</v>
      </c>
      <c r="AJ13">
        <v>2.5000000000000001E-2</v>
      </c>
      <c r="AK13">
        <v>2.5000000000000001E-2</v>
      </c>
      <c r="AL13">
        <v>2.5000000000000001E-2</v>
      </c>
      <c r="AM13">
        <v>2.5000000000000001E-2</v>
      </c>
      <c r="AN13">
        <v>2.5000000000000001E-2</v>
      </c>
      <c r="AO13">
        <v>2.5000000000000001E-2</v>
      </c>
      <c r="AQ13">
        <v>2.5000000000000001E-2</v>
      </c>
      <c r="AR13">
        <v>2.5000000000000001E-2</v>
      </c>
      <c r="AS13">
        <v>2.5000000000000001E-2</v>
      </c>
      <c r="AU13">
        <v>2.5000000000000001E-2</v>
      </c>
      <c r="AV13">
        <v>2.5000000000000001E-2</v>
      </c>
      <c r="AW13">
        <v>2.5000000000000001E-2</v>
      </c>
      <c r="AX13">
        <v>2.5000000000000001E-2</v>
      </c>
      <c r="AY13">
        <v>2.5000000000000001E-2</v>
      </c>
      <c r="AZ13">
        <v>2.5000000000000001E-2</v>
      </c>
      <c r="BA13">
        <v>2.5000000000000001E-2</v>
      </c>
      <c r="BC13">
        <v>0.02</v>
      </c>
      <c r="BD13">
        <f>BC13+0.005</f>
        <v>2.5000000000000001E-2</v>
      </c>
      <c r="BE13">
        <f t="shared" ref="BE13:BG13" si="4">BD13+0.005</f>
        <v>3.0000000000000002E-2</v>
      </c>
      <c r="BF13">
        <f t="shared" si="4"/>
        <v>3.5000000000000003E-2</v>
      </c>
      <c r="BG13">
        <f t="shared" si="4"/>
        <v>0.04</v>
      </c>
    </row>
    <row r="17" spans="3:59" x14ac:dyDescent="0.25">
      <c r="C17" t="s">
        <v>85</v>
      </c>
      <c r="E17" s="39">
        <v>-181368.66</v>
      </c>
      <c r="F17" s="40">
        <v>-190292.75</v>
      </c>
      <c r="G17" s="40">
        <v>-199216.83</v>
      </c>
      <c r="H17" s="40">
        <v>-208140.92</v>
      </c>
      <c r="I17" s="40">
        <v>-217065.01</v>
      </c>
      <c r="J17" s="40">
        <v>-225989.09</v>
      </c>
      <c r="K17" s="40">
        <v>-234913.18</v>
      </c>
      <c r="L17" s="40">
        <v>-243837.27</v>
      </c>
      <c r="M17" s="40">
        <v>-252761.35</v>
      </c>
      <c r="O17" s="40">
        <v>-225989.09</v>
      </c>
      <c r="P17" s="40">
        <v>-224168.37</v>
      </c>
      <c r="Q17" s="40">
        <v>-222123.65</v>
      </c>
      <c r="R17" s="40">
        <v>-217782.64</v>
      </c>
      <c r="T17" s="40">
        <v>-170886.01</v>
      </c>
      <c r="U17" s="40">
        <v>-179933.9</v>
      </c>
      <c r="V17" s="40">
        <v>-189043.65</v>
      </c>
      <c r="W17" s="40">
        <v>-198209.48</v>
      </c>
      <c r="X17" s="40">
        <v>-207425.82</v>
      </c>
      <c r="Y17" s="40">
        <v>-216687.37</v>
      </c>
      <c r="Z17" s="40">
        <v>-225989.09</v>
      </c>
      <c r="AA17" s="40">
        <v>-235326.29</v>
      </c>
      <c r="AB17" s="40">
        <v>-244694.55</v>
      </c>
      <c r="AD17" s="40">
        <v>-225989.09</v>
      </c>
      <c r="AE17" s="40">
        <v>-232312.5</v>
      </c>
      <c r="AF17" s="40">
        <v>-235474.2</v>
      </c>
      <c r="AH17" s="40">
        <v>-225989.09</v>
      </c>
      <c r="AI17" s="40">
        <v>-216965.41</v>
      </c>
      <c r="AJ17" s="40">
        <v>-207797.96</v>
      </c>
      <c r="AK17" s="40">
        <v>-198485.04</v>
      </c>
      <c r="AL17" s="40">
        <v>-189024.92</v>
      </c>
      <c r="AM17" s="40">
        <v>-179415.89</v>
      </c>
      <c r="AN17" s="40">
        <v>-169656.2</v>
      </c>
      <c r="AO17" s="40">
        <v>-159744.1</v>
      </c>
      <c r="AQ17" s="40">
        <v>-225989.09</v>
      </c>
      <c r="AR17" s="40">
        <v>-238631.69</v>
      </c>
      <c r="AS17" s="40">
        <v>-246876.87</v>
      </c>
      <c r="AU17" s="40">
        <v>-225989.09</v>
      </c>
      <c r="AV17" s="40">
        <v>-225989.09</v>
      </c>
      <c r="AW17" s="40">
        <v>-225989.09</v>
      </c>
      <c r="AX17" s="40">
        <v>-225989.09</v>
      </c>
      <c r="AY17" s="40">
        <v>-225989.09</v>
      </c>
      <c r="AZ17" s="40">
        <v>-225989.09</v>
      </c>
      <c r="BA17" s="40">
        <v>-225989.09</v>
      </c>
      <c r="BC17" s="40">
        <v>-225989.09</v>
      </c>
      <c r="BD17" s="40">
        <v>-225989.09</v>
      </c>
      <c r="BE17" s="40">
        <v>-225989.09</v>
      </c>
      <c r="BF17" s="40">
        <v>-225989.09</v>
      </c>
      <c r="BG17" s="40">
        <v>-225989.09</v>
      </c>
    </row>
    <row r="18" spans="3:59" x14ac:dyDescent="0.25">
      <c r="C18" t="s">
        <v>86</v>
      </c>
      <c r="E18" s="39">
        <v>-208946.56</v>
      </c>
      <c r="F18" s="40">
        <v>-208946.56</v>
      </c>
      <c r="G18" s="40">
        <v>-208946.56</v>
      </c>
      <c r="H18" s="40">
        <v>-208946.56</v>
      </c>
      <c r="I18" s="40">
        <v>-208946.56</v>
      </c>
      <c r="J18" s="40">
        <v>-208946.56</v>
      </c>
      <c r="K18" s="40">
        <v>-208946.56</v>
      </c>
      <c r="L18" s="40">
        <v>-208946.56</v>
      </c>
      <c r="M18" s="40">
        <v>-208946.56</v>
      </c>
      <c r="O18" s="40">
        <v>-208946.56</v>
      </c>
      <c r="P18" s="40">
        <v>-208946.56</v>
      </c>
      <c r="Q18" s="40">
        <v>-208946.56</v>
      </c>
      <c r="R18" s="40">
        <v>-208946.56</v>
      </c>
      <c r="T18" s="40">
        <v>-208946.56</v>
      </c>
      <c r="U18" s="40">
        <v>-208946.56</v>
      </c>
      <c r="V18" s="40">
        <v>-208946.56</v>
      </c>
      <c r="W18" s="40">
        <v>-208946.56</v>
      </c>
      <c r="X18" s="40">
        <v>-208946.56</v>
      </c>
      <c r="Y18" s="40">
        <v>-208946.56</v>
      </c>
      <c r="Z18" s="40">
        <v>-208946.56</v>
      </c>
      <c r="AA18" s="40">
        <v>-208946.56</v>
      </c>
      <c r="AB18" s="40">
        <v>-208946.56</v>
      </c>
      <c r="AD18" s="40">
        <v>-208946.56</v>
      </c>
      <c r="AE18" s="40">
        <v>-208946.56</v>
      </c>
      <c r="AF18" s="40">
        <v>-208946.56</v>
      </c>
      <c r="AH18" s="40">
        <v>-208946.56</v>
      </c>
      <c r="AI18" s="40">
        <v>-208946.56</v>
      </c>
      <c r="AJ18" s="40">
        <v>-208946.56</v>
      </c>
      <c r="AK18" s="40">
        <v>-208946.56</v>
      </c>
      <c r="AL18" s="40">
        <v>-208946.56</v>
      </c>
      <c r="AM18" s="40">
        <v>-208946.56</v>
      </c>
      <c r="AN18" s="40">
        <v>-208946.56</v>
      </c>
      <c r="AO18" s="40">
        <v>-208946.56</v>
      </c>
      <c r="AQ18" s="40">
        <v>-208946.56</v>
      </c>
      <c r="AR18" s="40">
        <v>-208946.56</v>
      </c>
      <c r="AS18" s="40">
        <v>-208946.56</v>
      </c>
      <c r="AU18" s="40">
        <v>-161573.20000000001</v>
      </c>
      <c r="AV18" s="40">
        <v>-174206.1</v>
      </c>
      <c r="AW18" s="40">
        <v>-186838.99</v>
      </c>
      <c r="AX18" s="40">
        <v>-199471.89</v>
      </c>
      <c r="AY18" s="40">
        <v>-212104.79</v>
      </c>
      <c r="AZ18" s="40">
        <v>-224737.69</v>
      </c>
      <c r="BA18" s="40">
        <v>-237370.58</v>
      </c>
      <c r="BC18" s="40">
        <v>-206906.61</v>
      </c>
      <c r="BD18" s="40">
        <v>-208946.56</v>
      </c>
      <c r="BE18" s="40">
        <v>-211007.78</v>
      </c>
      <c r="BF18" s="40">
        <v>-213090.42</v>
      </c>
      <c r="BG18" s="40">
        <v>-215194.68</v>
      </c>
    </row>
    <row r="19" spans="3:59" x14ac:dyDescent="0.25">
      <c r="C19" t="s">
        <v>87</v>
      </c>
      <c r="E19" s="39">
        <v>2813.4</v>
      </c>
      <c r="F19" s="40">
        <v>2954.68</v>
      </c>
      <c r="G19" s="40">
        <v>3095.96</v>
      </c>
      <c r="H19" s="40">
        <v>3237.25</v>
      </c>
      <c r="I19" s="40">
        <v>3378.53</v>
      </c>
      <c r="J19" s="40">
        <v>3519.81</v>
      </c>
      <c r="K19" s="40">
        <v>3661.1</v>
      </c>
      <c r="L19" s="40">
        <v>3802.38</v>
      </c>
      <c r="M19" s="40">
        <v>3943.66</v>
      </c>
      <c r="O19" s="40">
        <v>3519.81</v>
      </c>
      <c r="P19" s="40">
        <v>3490.99</v>
      </c>
      <c r="Q19" s="40">
        <v>3458.62</v>
      </c>
      <c r="R19" s="40">
        <v>3389.89</v>
      </c>
      <c r="T19" s="40">
        <v>2647.44</v>
      </c>
      <c r="U19" s="40">
        <v>2790.68</v>
      </c>
      <c r="V19" s="40">
        <v>2934.9</v>
      </c>
      <c r="W19" s="40">
        <v>3080.01</v>
      </c>
      <c r="X19" s="40">
        <v>3225.92</v>
      </c>
      <c r="Y19" s="40">
        <v>3372.55</v>
      </c>
      <c r="Z19" s="40">
        <v>3519.81</v>
      </c>
      <c r="AA19" s="40">
        <v>3667.64</v>
      </c>
      <c r="AB19" s="40">
        <v>3815.95</v>
      </c>
      <c r="AD19" s="40">
        <v>3519.81</v>
      </c>
      <c r="AE19" s="40">
        <v>3619.92</v>
      </c>
      <c r="AF19" s="40">
        <v>3669.98</v>
      </c>
      <c r="AH19" s="40">
        <v>3519.81</v>
      </c>
      <c r="AI19" s="40">
        <v>3376.95</v>
      </c>
      <c r="AJ19" s="40">
        <v>3231.82</v>
      </c>
      <c r="AK19" s="40">
        <v>3084.38</v>
      </c>
      <c r="AL19" s="40">
        <v>2934.61</v>
      </c>
      <c r="AM19" s="40">
        <v>2782.48</v>
      </c>
      <c r="AN19" s="40">
        <v>2627.97</v>
      </c>
      <c r="AO19" s="40">
        <v>2471.04</v>
      </c>
      <c r="AQ19" s="40">
        <v>3519.81</v>
      </c>
      <c r="AR19" s="40">
        <v>3719.97</v>
      </c>
      <c r="AS19" s="40">
        <v>3850.5</v>
      </c>
      <c r="AU19" s="40">
        <v>3519.81</v>
      </c>
      <c r="AV19" s="40">
        <v>3519.81</v>
      </c>
      <c r="AW19" s="40">
        <v>3519.81</v>
      </c>
      <c r="AX19" s="40">
        <v>3519.81</v>
      </c>
      <c r="AY19" s="40">
        <v>3519.81</v>
      </c>
      <c r="AZ19" s="40">
        <v>3519.81</v>
      </c>
      <c r="BA19" s="40">
        <v>3519.81</v>
      </c>
      <c r="BC19" s="40">
        <v>3555.14</v>
      </c>
      <c r="BD19" s="40">
        <v>3519.81</v>
      </c>
      <c r="BE19" s="40">
        <v>3484.82</v>
      </c>
      <c r="BF19" s="40">
        <v>3450.17</v>
      </c>
      <c r="BG19" s="40">
        <v>3415.85</v>
      </c>
    </row>
    <row r="20" spans="3:59" x14ac:dyDescent="0.25">
      <c r="C20" t="s">
        <v>79</v>
      </c>
      <c r="E20" t="s">
        <v>1</v>
      </c>
      <c r="F20" t="s">
        <v>1</v>
      </c>
      <c r="G20" t="s">
        <v>1</v>
      </c>
      <c r="H20" t="s">
        <v>1</v>
      </c>
      <c r="I20" t="s">
        <v>2</v>
      </c>
      <c r="J20" t="s">
        <v>2</v>
      </c>
      <c r="K20" t="s">
        <v>2</v>
      </c>
      <c r="L20" t="s">
        <v>2</v>
      </c>
      <c r="M20" t="s">
        <v>2</v>
      </c>
      <c r="O20" t="s">
        <v>2</v>
      </c>
      <c r="P20" t="s">
        <v>2</v>
      </c>
      <c r="Q20" t="s">
        <v>2</v>
      </c>
      <c r="R20" t="s">
        <v>2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2</v>
      </c>
      <c r="Z20" t="s">
        <v>2</v>
      </c>
      <c r="AA20" t="s">
        <v>2</v>
      </c>
      <c r="AB20" t="s">
        <v>2</v>
      </c>
      <c r="AD20" t="s">
        <v>2</v>
      </c>
      <c r="AE20" t="s">
        <v>2</v>
      </c>
      <c r="AF20" t="s">
        <v>2</v>
      </c>
      <c r="AH20" t="s">
        <v>2</v>
      </c>
      <c r="AI20" t="s">
        <v>2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1</v>
      </c>
      <c r="AQ20" t="s">
        <v>2</v>
      </c>
      <c r="AR20" t="s">
        <v>2</v>
      </c>
      <c r="AS20" t="s">
        <v>2</v>
      </c>
      <c r="AU20" t="s">
        <v>2</v>
      </c>
      <c r="AV20" t="s">
        <v>2</v>
      </c>
      <c r="AW20" t="s">
        <v>2</v>
      </c>
      <c r="AX20" t="s">
        <v>2</v>
      </c>
      <c r="AY20" t="s">
        <v>2</v>
      </c>
      <c r="AZ20" t="s">
        <v>2</v>
      </c>
      <c r="BA20" t="s">
        <v>1</v>
      </c>
      <c r="BC20" t="s">
        <v>2</v>
      </c>
      <c r="BD20" t="s">
        <v>2</v>
      </c>
      <c r="BE20" t="s">
        <v>2</v>
      </c>
      <c r="BF20" t="s">
        <v>2</v>
      </c>
      <c r="BG2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A9618-4BB9-477A-A9C5-8DEA49D143ED}">
  <sheetPr codeName="Sheet4"/>
  <dimension ref="B2:B6"/>
  <sheetViews>
    <sheetView workbookViewId="0">
      <selection activeCell="B3" sqref="B3:B6"/>
    </sheetView>
  </sheetViews>
  <sheetFormatPr defaultRowHeight="15" x14ac:dyDescent="0.25"/>
  <sheetData>
    <row r="2" spans="2:2" x14ac:dyDescent="0.25">
      <c r="B2" t="s">
        <v>20</v>
      </c>
    </row>
    <row r="3" spans="2:2" x14ac:dyDescent="0.25">
      <c r="B3">
        <v>10</v>
      </c>
    </row>
    <row r="4" spans="2:2" x14ac:dyDescent="0.25">
      <c r="B4">
        <v>15</v>
      </c>
    </row>
    <row r="5" spans="2:2" x14ac:dyDescent="0.25">
      <c r="B5">
        <v>20</v>
      </c>
    </row>
    <row r="6" spans="2:2" x14ac:dyDescent="0.25">
      <c r="B6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Assumptions</vt:lpstr>
      <vt:lpstr>Rent v Mortgage</vt:lpstr>
      <vt:lpstr>Reports</vt:lpstr>
      <vt:lpstr>Hidden</vt:lpstr>
      <vt:lpstr>Tenor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Park</dc:creator>
  <cp:lastModifiedBy>Patrick Park</cp:lastModifiedBy>
  <dcterms:created xsi:type="dcterms:W3CDTF">2024-05-26T02:03:18Z</dcterms:created>
  <dcterms:modified xsi:type="dcterms:W3CDTF">2024-05-26T18:32:31Z</dcterms:modified>
</cp:coreProperties>
</file>